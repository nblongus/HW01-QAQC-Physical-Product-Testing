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3a4dfec4d74d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 Cases" sheetId="1" r:id="R210c4832ac7b4ebe"/>
    <x:sheet xmlns:r="http://schemas.openxmlformats.org/officeDocument/2006/relationships" name="Checklist" sheetId="2" r:id="Rdf371ebdc74544ba"/>
    <x:sheet xmlns:r="http://schemas.openxmlformats.org/officeDocument/2006/relationships" name="Test Summary Report" sheetId="3" r:id="Rbcf9013cfabd4a2c"/>
    <x:sheet xmlns:r="http://schemas.openxmlformats.org/officeDocument/2006/relationships" name="Defect Log" sheetId="4" r:id="R766dbf488f2849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4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  <x:dxfs count="10"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FF2CC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CE5CD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e454657f5f435f" /><Relationship Type="http://schemas.openxmlformats.org/officeDocument/2006/relationships/theme" Target="/xl/theme/theme1.xml" Id="Rb7bc49ec70b64d7c" /><Relationship Type="http://schemas.openxmlformats.org/officeDocument/2006/relationships/sharedStrings" Target="/xl/sharedStrings.xml" Id="R9179691c86da4f61" /><Relationship Type="http://schemas.openxmlformats.org/officeDocument/2006/relationships/worksheet" Target="/xl/worksheets/sheet1.xml" Id="R210c4832ac7b4ebe" /><Relationship Type="http://schemas.openxmlformats.org/officeDocument/2006/relationships/worksheet" Target="/xl/worksheets/sheet2.xml" Id="Rdf371ebdc74544ba" /><Relationship Type="http://schemas.openxmlformats.org/officeDocument/2006/relationships/worksheet" Target="/xl/worksheets/sheet3.xml" Id="Rbcf9013cfabd4a2c" /><Relationship Type="http://schemas.openxmlformats.org/officeDocument/2006/relationships/worksheet" Target="/xl/worksheets/sheet4.xml" Id="R766dbf488f28499d" /></Relationships>
</file>

<file path=xl/tables/table1.xml><?xml version="1.0" encoding="utf-8"?>
<x:table xmlns:x="http://schemas.openxmlformats.org/spreadsheetml/2006/main" id="1" name="TestCasesTable" displayName="TestCasesTable" ref="A1:K16" headerRowCount="1">
  <x:tableColumns count="11">
    <x:tableColumn id="1" name="Test Case ID"/>
    <x:tableColumn id="2" name="Tên test case"/>
    <x:tableColumn id="3" name="Mục tiêu"/>
    <x:tableColumn id="4" name="Dữ liệu đầu vào"/>
    <x:tableColumn id="5" name="Các bước thực hiện"/>
    <x:tableColumn id="6" name="Kết quả mong đợi"/>
    <x:tableColumn id="7" name="Kết quả thực tế"/>
    <x:tableColumn id="8" name="Kết luận"/>
    <x:tableColumn id="9" name="Video"/>
    <x:tableColumn id="10" name="Edge case?"/>
    <x:tableColumn id="11" name="Ghi chú edge case"/>
  </x:tableColumns>
  <x:tableStyleInfo name="TableStyleMedium2" showRowStripes="1"/>
</x:table>
</file>

<file path=xl/tables/table2.xml><?xml version="1.0" encoding="utf-8"?>
<x:table xmlns:x="http://schemas.openxmlformats.org/spreadsheetml/2006/main" id="2" name="ChecklistTable" displayName="ChecklistTable" ref="A1:E15" headerRowCount="1">
  <x:tableColumns count="5">
    <x:tableColumn id="1" name="No."/>
    <x:tableColumn id="2" name="Submission item"/>
    <x:tableColumn id="3" name="Required by assignment"/>
    <x:tableColumn id="4" name="Status"/>
    <x:tableColumn id="5" name="Evidence / Link / Note"/>
  </x:tableColumns>
  <x:tableStyleInfo name="TableStyleMedium2" showRowStripes="1"/>
</x:table>
</file>

<file path=xl/tables/table3.xml><?xml version="1.0" encoding="utf-8"?>
<x:table xmlns:x="http://schemas.openxmlformats.org/spreadsheetml/2006/main" id="3" name="DefectLogTable" displayName="DefectLogTable" ref="A1:I6" headerRowCount="1">
  <x:tableColumns count="9">
    <x:tableColumn id="1" name="Issue ID"/>
    <x:tableColumn id="2" name="Related TC"/>
    <x:tableColumn id="3" name="Defect title"/>
    <x:tableColumn id="4" name="Severity"/>
    <x:tableColumn id="5" name="Description / Evidence"/>
    <x:tableColumn id="6" name="Expected behavior"/>
    <x:tableColumn id="7" name="Actual behavior"/>
    <x:tableColumn id="8" name="Status"/>
    <x:tableColumn id="9" name="GitHub Issue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5ef2b1c07149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7a95e1bd79b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b6913910164fd0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2" hidden="0" customWidth="1"/>
    <x:col min="3" max="3" width="34" hidden="0" customWidth="1"/>
    <x:col min="4" max="4" width="32" hidden="0" customWidth="1"/>
    <x:col min="5" max="5" width="45" hidden="0" customWidth="1"/>
    <x:col min="6" max="6" width="45" hidden="0" customWidth="1"/>
    <x:col min="7" max="7" width="48" hidden="0" customWidth="1"/>
    <x:col min="8" max="8" width="12" hidden="0" customWidth="1"/>
    <x:col min="9" max="9" width="34" hidden="0" customWidth="1"/>
    <x:col min="10" max="10" width="12" hidden="0" customWidth="1"/>
    <x:col min="11" max="11" width="45" hidden="0" customWidth="1"/>
  </x:cols>
  <x:sheetData>
    <x:row r="1" ht="32" customHeight="1">
      <x:c r="A1" s="14" t="str">
        <x:v>Test Case ID</x:v>
      </x:c>
      <x:c r="B1" s="14" t="str">
        <x:v>Tên test case</x:v>
      </x:c>
      <x:c r="C1" s="14" t="str">
        <x:v>Mục tiêu</x:v>
      </x:c>
      <x:c r="D1" s="14" t="str">
        <x:v>Dữ liệu đầu vào</x:v>
      </x:c>
      <x:c r="E1" s="14" t="str">
        <x:v>Các bước thực hiện</x:v>
      </x:c>
      <x:c r="F1" s="14" t="str">
        <x:v>Kết quả mong đợi</x:v>
      </x:c>
      <x:c r="G1" s="14" t="str">
        <x:v>Kết quả thực tế</x:v>
      </x:c>
      <x:c r="H1" s="14" t="str">
        <x:v>Kết luận</x:v>
      </x:c>
      <x:c r="I1" s="14" t="str">
        <x:v>Video</x:v>
      </x:c>
      <x:c r="J1" s="14" t="str">
        <x:v>Edge case?</x:v>
      </x:c>
      <x:c r="K1" s="14" t="str">
        <x:v>Ghi chú edge case</x:v>
      </x:c>
    </x:row>
    <x:row r="2" ht="60" customHeight="1">
      <x:c r="A2" s="18" t="str">
        <x:v>TC01</x:v>
      </x:c>
      <x:c r="B2" s="15" t="str">
        <x:v>Bật nguồn / Khởi động bếp</x:v>
      </x:c>
      <x:c r="C2" s="15" t="str">
        <x:v>Kiểm tra bếp có bật nguồn bình thường không</x:v>
      </x:c>
      <x:c r="D2" s="15" t="str">
        <x:v>Bếp được cắm vào ổ điện 220V</x:v>
      </x:c>
      <x:c r="E2" s="15" t="str">
        <x:v>1. Đặt bếp trên mặt phẳng khô.
2. Cắm điện.
3. Nhấn nút nguồn.</x:v>
      </x:c>
      <x:c r="F2" s="15" t="str">
        <x:v>Bếp bật, màn hình/đèn báo hoạt động, có tín hiệu âm thanh hoặc hiển thị trạng thái sẵn sàng</x:v>
      </x:c>
      <x:c r="G2" s="15" t="str">
        <x:v>Bếp bật bình thường, màn hình/đèn báo sáng và có tín hiệu phản hồi khi nhấn nút nguồn</x:v>
      </x:c>
      <x:c r="H2" s="15" t="str">
        <x:v>Đạt</x:v>
      </x:c>
      <x:c r="I2" s="15" t="str">
        <x:v>https://youtube.com/shorts/Z7WCajjYagU</x:v>
      </x:c>
      <x:c r="J2" s="15" t="str">
        <x:v>No</x:v>
      </x:c>
      <x:c r="K2" s="15" t="str"/>
    </x:row>
    <x:row r="3" ht="60" customHeight="1">
      <x:c r="A3" s="18" t="str">
        <x:v>TC02</x:v>
      </x:c>
      <x:c r="B3" s="15" t="str">
        <x:v>Tắt nguồn</x:v>
      </x:c>
      <x:c r="C3" s="15" t="str">
        <x:v>Kiểm tra chức năng tắt bếp</x:v>
      </x:c>
      <x:c r="D3" s="15" t="str">
        <x:v>Bếp đang bật</x:v>
      </x:c>
      <x:c r="E3" s="15" t="str">
        <x:v>1. Bật bếp.
2. Nhấn nút nguồn để tắt.</x:v>
      </x:c>
      <x:c r="F3" s="15" t="str">
        <x:v>Bếp tắt, màn hình/đèn báo chuyển về trạng thái tắt hoặc chờ</x:v>
      </x:c>
      <x:c r="G3" s="15" t="str">
        <x:v>Bếp tắt bình thường sau khi nhấn nút nguồn, màn hình/đèn báo chuyển về trạng thái tắt hoặc chờ</x:v>
      </x:c>
      <x:c r="H3" s="15" t="str">
        <x:v>Đạt</x:v>
      </x:c>
      <x:c r="I3" s="15" t="str">
        <x:v>Có thể quay</x:v>
      </x:c>
      <x:c r="J3" s="15" t="str">
        <x:v>No</x:v>
      </x:c>
      <x:c r="K3" s="15" t="str"/>
    </x:row>
    <x:row r="4" ht="60" customHeight="1">
      <x:c r="A4" s="18" t="str">
        <x:v>TC03</x:v>
      </x:c>
      <x:c r="B4" s="15" t="str">
        <x:v>Kiểm tra khả năng sinh nhiệt</x:v>
      </x:c>
      <x:c r="C4" s="15" t="str">
        <x:v>Kiểm tra bếp có sinh nhiệt khi nấu không</x:v>
      </x:c>
      <x:c r="D4" s="15" t="str">
        <x:v>Nồi có nước đặt trên vùng nấu</x:v>
      </x:c>
      <x:c r="E4" s="15" t="str">
        <x:v>1. Đặt nồi nước lên bếp.
2. Bật bếp.
3. Chọn mức nhiệt trung bình.
4. Quan sát nước nóng dần.</x:v>
      </x:c>
      <x:c r="F4" s="15" t="str">
        <x:v>Vùng nấu nóng lên, nước tăng nhiệt sau một thời gian ngắn</x:v>
      </x:c>
      <x:c r="G4" s="15" t="str">
        <x:v>Vùng nấu nóng lên sau khi bật bếp, nước trong nồi bắt đầu nóng dần sau một thời gian ngắn</x:v>
      </x:c>
      <x:c r="H4" s="15" t="str">
        <x:v>Đạt</x:v>
      </x:c>
      <x:c r="I4" s="15" t="str">
        <x:v>Nên quay</x:v>
      </x:c>
      <x:c r="J4" s="15" t="str">
        <x:v>No</x:v>
      </x:c>
      <x:c r="K4" s="15" t="str"/>
    </x:row>
    <x:row r="5" ht="60" customHeight="1">
      <x:c r="A5" s="18" t="str">
        <x:v>TC04</x:v>
      </x:c>
      <x:c r="B5" s="15" t="str">
        <x:v>Chế độ công suất tối đa / Mức nhiệt cao</x:v>
      </x:c>
      <x:c r="C5" s="15" t="str">
        <x:v>Kiểm tra bếp hoạt động ở mức công suất cao</x:v>
      </x:c>
      <x:c r="D5" s="15" t="str">
        <x:v>Nồi nước, mức công suất cao nhất</x:v>
      </x:c>
      <x:c r="E5" s="15" t="str">
        <x:v>1. Đặt nồi nước lên bếp.
2. Bật bếp.
3. Tăng công suất lên mức cao nhất.
4. Quan sát tốc độ nóng và âm thanh quạt tản nhiệt.</x:v>
      </x:c>
      <x:c r="F5" s="15" t="str">
        <x:v>Bếp tăng nhiệt rõ rệt, quạt tản nhiệt hoạt động, không tự tắt bất thường</x:v>
      </x:c>
      <x:c r="G5" s="15" t="str">
        <x:v>Khi tăng lên mức cao nhất, bếp nóng nhanh hơn rõ rệt, quạt tản nhiệt hoạt động và bếp không tự tắt bất thường</x:v>
      </x:c>
      <x:c r="H5" s="15" t="str">
        <x:v>Đạt</x:v>
      </x:c>
      <x:c r="I5" s="15" t="str">
        <x:v>Có thể quay</x:v>
      </x:c>
      <x:c r="J5" s="15" t="str">
        <x:v>No</x:v>
      </x:c>
      <x:c r="K5" s="15" t="str"/>
    </x:row>
    <x:row r="6" ht="60" customHeight="1">
      <x:c r="A6" s="18" t="str">
        <x:v>TC05</x:v>
      </x:c>
      <x:c r="B6" s="15" t="str">
        <x:v>Chế độ nhiệt thấp</x:v>
      </x:c>
      <x:c r="C6" s="15" t="str">
        <x:v>Kiểm tra bếp hoạt động ở mức nhiệt thấp</x:v>
      </x:c>
      <x:c r="D6" s="15" t="str">
        <x:v>Nồi nước hoặc chảo rỗng phù hợp</x:v>
      </x:c>
      <x:c r="E6" s="15" t="str">
        <x:v>1. Bật bếp.
2. Chọn mức nhiệt thấp.
3. Quan sát nhiệt sinh ra trong thời gian ngắn.</x:v>
      </x:c>
      <x:c r="F6" s="15" t="str">
        <x:v>Bếp vẫn sinh nhiệt nhưng nhẹ hơn mức cao, không tắt đột ngột</x:v>
      </x:c>
      <x:c r="G6" s="15" t="str">
        <x:v>Bếp vẫn sinh nhiệt ở mức thấp, nhiệt nhẹ hơn so với mức cao và không xảy ra hiện tượng tắt đột ngột</x:v>
      </x:c>
      <x:c r="H6" s="15" t="str">
        <x:v>Đạt</x:v>
      </x:c>
      <x:c r="I6" s="15" t="str">
        <x:v>Không bắt buộc</x:v>
      </x:c>
      <x:c r="J6" s="15" t="str">
        <x:v>No</x:v>
      </x:c>
      <x:c r="K6" s="15" t="str"/>
    </x:row>
    <x:row r="7" ht="60" customHeight="1">
      <x:c r="A7" s="18" t="str">
        <x:v>TC06</x:v>
      </x:c>
      <x:c r="B7" s="15" t="str">
        <x:v>Nút tăng công suất</x:v>
      </x:c>
      <x:c r="C7" s="15" t="str">
        <x:v>Kiểm tra nút tăng công suất</x:v>
      </x:c>
      <x:c r="D7" s="15" t="str">
        <x:v>Bếp đang hoạt động</x:v>
      </x:c>
      <x:c r="E7" s="15" t="str">
        <x:v>1. Bật bếp.
2. Nhấn nút tăng công suất nhiều lần.
3. Quan sát màn hình hiển thị.</x:v>
      </x:c>
      <x:c r="F7" s="15" t="str">
        <x:v>Mức công suất/nhiệt tăng theo từng lần nhấn, màn hình phản hồi đúng</x:v>
      </x:c>
      <x:c r="G7" s="15" t="str">
        <x:v>Mỗi lần nhấn nút tăng, mức công suất/nhiệt tăng tương ứng và màn hình hiển thị đúng thay đổi</x:v>
      </x:c>
      <x:c r="H7" s="15" t="str">
        <x:v>Đạt</x:v>
      </x:c>
      <x:c r="I7" s="15" t="str">
        <x:v>https://youtube.com/shorts/KCwLg3wy3HA</x:v>
      </x:c>
      <x:c r="J7" s="15" t="str">
        <x:v>No</x:v>
      </x:c>
      <x:c r="K7" s="15" t="str"/>
    </x:row>
    <x:row r="8" ht="60" customHeight="1">
      <x:c r="A8" s="18" t="str">
        <x:v>TC07</x:v>
      </x:c>
      <x:c r="B8" s="15" t="str">
        <x:v>Nút giảm công suất</x:v>
      </x:c>
      <x:c r="C8" s="15" t="str">
        <x:v>Kiểm tra nút giảm công suất</x:v>
      </x:c>
      <x:c r="D8" s="15" t="str">
        <x:v>Bếp đang hoạt động ở mức trung bình/cao</x:v>
      </x:c>
      <x:c r="E8" s="15" t="str">
        <x:v>1. Bật bếp.
2. Đặt mức công suất cao.
3. Nhấn nút giảm công suất nhiều lần.</x:v>
      </x:c>
      <x:c r="F8" s="15" t="str">
        <x:v>Mức công suất/nhiệt giảm theo từng lần nhấn, màn hình phản hồi đúng</x:v>
      </x:c>
      <x:c r="G8" s="15" t="str">
        <x:v>Mỗi lần nhấn nút giảm, mức công suất/nhiệt giảm tương ứng và màn hình hiển thị đúng thay đổi</x:v>
      </x:c>
      <x:c r="H8" s="15" t="str">
        <x:v>Đạt</x:v>
      </x:c>
      <x:c r="I8" s="15" t="str">
        <x:v>https://youtube.com/shorts/iSDRK9koJ-w</x:v>
      </x:c>
      <x:c r="J8" s="15" t="str">
        <x:v>No</x:v>
      </x:c>
      <x:c r="K8" s="15" t="str"/>
    </x:row>
    <x:row r="9" ht="60" customHeight="1">
      <x:c r="A9" s="18" t="str">
        <x:v>TC08</x:v>
      </x:c>
      <x:c r="B9" s="15" t="str">
        <x:v>Chức năng hẹn giờ</x:v>
      </x:c>
      <x:c r="C9" s="15" t="str">
        <x:v>Kiểm tra chức năng hẹn giờ</x:v>
      </x:c>
      <x:c r="D9" s="15" t="str">
        <x:v>Bếp đang hoạt động, cài thời gian hẹn giờ ngắn</x:v>
      </x:c>
      <x:c r="E9" s="15" t="str">
        <x:v>1. Bật bếp.
2. Chọn chế độ nấu.
3. Cài hẹn giờ khoảng 1-2 phút.
4. Chờ hết thời gian.</x:v>
      </x:c>
      <x:c r="F9" s="15" t="str">
        <x:v>Bếp tự dừng hoặc báo hiệu khi hết thời gian hẹn giờ</x:v>
      </x:c>
      <x:c r="G9" s="15" t="str">
        <x:v>Sau khi hết thời gian hẹn giờ, bếp có phản hồi báo hiệu và dừng/chuyển trạng thái theo đúng chức năng hẹn giờ</x:v>
      </x:c>
      <x:c r="H9" s="15" t="str">
        <x:v>Đạt</x:v>
      </x:c>
      <x:c r="I9" s="15" t="str">
        <x:v>Nên quay</x:v>
      </x:c>
      <x:c r="J9" s="15" t="str">
        <x:v>No</x:v>
      </x:c>
      <x:c r="K9" s="15" t="str"/>
    </x:row>
    <x:row r="10" ht="60" customHeight="1">
      <x:c r="A10" s="18" t="str">
        <x:v>TC09</x:v>
      </x:c>
      <x:c r="B10" s="15" t="str">
        <x:v>Độ phản hồi của bảng điều khiển</x:v>
      </x:c>
      <x:c r="C10" s="15" t="str">
        <x:v>Kiểm tra độ nhạy của bảng điều khiển cảm ứng/nút bấm</x:v>
      </x:c>
      <x:c r="D10" s="15" t="str">
        <x:v>Tay khô, bảng điều khiển sạch</x:v>
      </x:c>
      <x:c r="E10" s="15" t="str">
        <x:v>1. Bật bếp.
2. Nhấn lần lượt các nút nguồn, tăng, giảm, hẹn giờ.
3. Quan sát độ phản hồi.</x:v>
      </x:c>
      <x:c r="F10" s="15" t="str">
        <x:v>Các nút phản hồi ổn định, không bị trễ quá lâu, không nhận sai lệnh</x:v>
      </x:c>
      <x:c r="G10" s="15" t="str">
        <x:v>Các nút trên bảng điều khiển phản hồi ổn định, không bị trễ rõ rệt và không nhận sai lệnh</x:v>
      </x:c>
      <x:c r="H10" s="15" t="str">
        <x:v>Đạt</x:v>
      </x:c>
      <x:c r="I10" s="15" t="str">
        <x:v>https://youtube.com/shorts/Rn9ZjYZ-hEQ</x:v>
      </x:c>
      <x:c r="J10" s="15" t="str">
        <x:v>No</x:v>
      </x:c>
      <x:c r="K10" s="15" t="str"/>
    </x:row>
    <x:row r="11" ht="60" customHeight="1">
      <x:c r="A11" s="18" t="str">
        <x:v>TC10</x:v>
      </x:c>
      <x:c r="B11" s="15" t="str">
        <x:v>Khả năng tương thích với nhiều loại nồi/chảo</x:v>
      </x:c>
      <x:c r="C11" s="15" t="str">
        <x:v>Kiểm tra khả năng dùng với nhiều loại nồi/chảo</x:v>
      </x:c>
      <x:c r="D11" s="15" t="str">
        <x:v>Nồi inox, nồi nhôm hoặc chảo đáy phẳng</x:v>
      </x:c>
      <x:c r="E11" s="15" t="str">
        <x:v>1. Lần lượt đặt từng loại nồi/chảo lên bếp.
2. Bật bếp ở mức trung bình.
3. Quan sát khả năng sinh nhiệt.</x:v>
      </x:c>
      <x:c r="F11" s="15" t="str">
        <x:v>Vì là bếp hồng ngoại, bếp có thể làm nóng nhiều loại nồi/chảo đáy phẳng phù hợp</x:v>
      </x:c>
      <x:c r="G11" s="15" t="str">
        <x:v>Bếp làm nóng được các loại nồi/chảo đáy phẳng phù hợp, không báo lỗi khi thay đổi dụng cụ nấu</x:v>
      </x:c>
      <x:c r="H11" s="15" t="str">
        <x:v>Đạt</x:v>
      </x:c>
      <x:c r="I11" s="15" t="str">
        <x:v>Không bắt buộc</x:v>
      </x:c>
      <x:c r="J11" s="15" t="str">
        <x:v>No</x:v>
      </x:c>
      <x:c r="K11" s="15" t="str"/>
    </x:row>
    <x:row r="12" ht="60" customHeight="1">
      <x:c r="A12" s="18" t="str">
        <x:v>TC11</x:v>
      </x:c>
      <x:c r="B12" s="15" t="str">
        <x:v>Quạt tản nhiệt sau khi nấu</x:v>
      </x:c>
      <x:c r="C12" s="15" t="str">
        <x:v>Kiểm tra quạt tản nhiệt sau khi tắt bếp</x:v>
      </x:c>
      <x:c r="D12" s="15" t="str">
        <x:v>Bếp vừa hoạt động trong vài phút</x:v>
      </x:c>
      <x:c r="E12" s="15" t="str">
        <x:v>1. Cho bếp hoạt động ở mức trung bình/cao trong thời gian ngắn.
2. Tắt bếp.
3. Lắng nghe/quan sát quạt tản nhiệt.</x:v>
      </x:c>
      <x:c r="F12" s="15" t="str">
        <x:v>Quạt có thể tiếp tục chạy một thời gian để làm mát, sau đó dừng</x:v>
      </x:c>
      <x:c r="G12" s="15" t="str">
        <x:v>Sau khi tắt bếp, quạt tản nhiệt tiếp tục chạy trong một thời gian ngắn để làm mát rồi dừng lại</x:v>
      </x:c>
      <x:c r="H12" s="15" t="str">
        <x:v>Đạt</x:v>
      </x:c>
      <x:c r="I12" s="15" t="str">
        <x:v>Nên quay</x:v>
      </x:c>
      <x:c r="J12" s="15" t="str">
        <x:v>No</x:v>
      </x:c>
      <x:c r="K12" s="15" t="str"/>
    </x:row>
    <x:row r="13" ht="60" customHeight="1">
      <x:c r="A13" s="18" t="str">
        <x:v>TC12</x:v>
      </x:c>
      <x:c r="B13" s="15" t="str">
        <x:v>Cảnh báo nhiệt dư</x:v>
      </x:c>
      <x:c r="C13" s="15" t="str">
        <x:v>Kiểm tra cảnh báo nhiệt dư sau khi tắt bếp</x:v>
      </x:c>
      <x:c r="D13" s="15" t="str">
        <x:v>Bếp vừa nấu xong, mặt kính còn nóng</x:v>
      </x:c>
      <x:c r="E13" s="15" t="str">
        <x:v>1. Nấu trong vài phút.
2. Tắt bếp.
3. Quan sát màn hình/đèn báo.</x:v>
      </x:c>
      <x:c r="F13" s="15" t="str">
        <x:v>Bếp có cảnh báo mặt bếp còn nóng, ví dụ ký hiệu nhiệt dư hoặc đèn báo</x:v>
      </x:c>
      <x:c r="G13" s="15" t="str">
        <x:v>Sau khi tắt bếp, màn hình/đèn báo vẫn thể hiện trạng thái mặt bếp còn nóng để nhắc người dùng cẩn thận</x:v>
      </x:c>
      <x:c r="H13" s="15" t="str">
        <x:v>Đạt</x:v>
      </x:c>
      <x:c r="I13" s="15" t="str">
        <x:v>Có thể quay</x:v>
      </x:c>
      <x:c r="J13" s="15" t="str">
        <x:v>No</x:v>
      </x:c>
      <x:c r="K13" s="15" t="str"/>
    </x:row>
    <x:row r="14" ht="60" customHeight="1">
      <x:c r="A14" s="18" t="str">
        <x:v>TC13</x:v>
      </x:c>
      <x:c r="B14" s="15" t="str">
        <x:v>Edge case: Đặt nồi rất nhỏ</x:v>
      </x:c>
      <x:c r="C14" s="15" t="str">
        <x:v>Kiểm tra bếp khi dùng nồi nhỏ hơn nhiều so với vùng nấu 20 cm</x:v>
      </x:c>
      <x:c r="D14" s="15" t="str">
        <x:v>Nồi/chảo đáy phẳng nhỏ, đặt đúng giữa vùng nấu</x:v>
      </x:c>
      <x:c r="E14" s="15" t="str">
        <x:v>1. Đặt nồi nhỏ lên vùng nấu.
2. Bật bếp ở mức thấp/trung bình.
3. Quan sát độ ổn định và vùng nhiệt.</x:v>
      </x:c>
      <x:c r="F14" s="15" t="str">
        <x:v>Bếp vẫn hoạt động, nhưng nhiệt có thể phân bố không tối ưu; không được báo lỗi sai hoặc tự tắt bất thường</x:v>
      </x:c>
      <x:c r="G14" s="15" t="str">
        <x:v>Khi dùng nồi nhỏ, bếp vẫn hoạt động ổn định, không báo lỗi và không tự tắt bất thường; vùng nhiệt có thể không phủ đều toàn bộ đáy nồi</x:v>
      </x:c>
      <x:c r="H14" s="15" t="str">
        <x:v>Đạt</x:v>
      </x:c>
      <x:c r="I14" s="15" t="str">
        <x:v>Không bắt buộc</x:v>
      </x:c>
      <x:c r="J14" s="15" t="str">
        <x:v>Yes</x:v>
      </x:c>
      <x:c r="K14" s="15" t="str">
        <x:v>Đây là edge case AI dễ bỏ sót vì AI thường giả định người dùng dùng nồi có kích thước chuẩn</x:v>
      </x:c>
    </x:row>
    <x:row r="15" ht="60" customHeight="1">
      <x:c r="A15" s="18" t="str">
        <x:v>TC14</x:v>
      </x:c>
      <x:c r="B15" s="15" t="str">
        <x:v>Edge case: Nhấn nút liên tục</x:v>
      </x:c>
      <x:c r="C15" s="15" t="str">
        <x:v>Kiểm tra bảng điều khiển khi người dùng nhấn nút liên tục</x:v>
      </x:c>
      <x:c r="D15" s="15" t="str">
        <x:v>Bếp đang bật</x:v>
      </x:c>
      <x:c r="E15" s="15" t="str">
        <x:v>1. Bật bếp.
2. Nhấn nút tăng/giảm công suất liên tục nhiều lần với tốc độ nhanh.
3. Quan sát màn hình và phản hồi.</x:v>
      </x:c>
      <x:c r="F15" s="15" t="str">
        <x:v>Bếp không treo, không nhận sai lệnh nghiêm trọng, mức công suất thay đổi hợp lý</x:v>
      </x:c>
      <x:c r="G15" s="15" t="str">
        <x:v>Khi nhấn nút tăng/giảm liên tục, bếp vẫn phản hồi ổn định, không bị treo và mức công suất thay đổi hợp lý</x:v>
      </x:c>
      <x:c r="H15" s="15" t="str">
        <x:v>Đạt</x:v>
      </x:c>
      <x:c r="I15" s="15" t="str">
        <x:v>https://youtube.com/shorts/SF9aW7VgUGk</x:v>
      </x:c>
      <x:c r="J15" s="15" t="str">
        <x:v>Yes</x:v>
      </x:c>
      <x:c r="K15" s="15" t="str">
        <x:v>Đây là edge case về hành vi người dùng không chuẩn, AI thường chỉ sinh test theo thao tác bình thường</x:v>
      </x:c>
    </x:row>
    <x:row r="16" ht="60" customHeight="1">
      <x:c r="A16" s="18" t="str">
        <x:v>TC15</x:v>
      </x:c>
      <x:c r="B16" s="15" t="str">
        <x:v>Edge case: Đặt nồi lệch nhẹ khỏi tâm</x:v>
      </x:c>
      <x:c r="C16" s="15" t="str">
        <x:v>Kiểm tra hiệu quả nấu khi nồi đặt lệch nhẹ khỏi tâm vùng nấu</x:v>
      </x:c>
      <x:c r="D16" s="15" t="str">
        <x:v>Nồi đáy phẳng đặt lệch nhẹ nhưng vẫn nằm an toàn trên mặt bếp</x:v>
      </x:c>
      <x:c r="E16" s="15" t="str">
        <x:v>1. Đặt nồi lệch nhẹ khỏi tâm vùng nấu.
2. Bật mức nhiệt thấp/trung bình.
3. Quan sát khả năng làm nóng và độ ổn định của nồi.</x:v>
      </x:c>
      <x:c r="F16" s="15" t="str">
        <x:v>Bếp vẫn hoạt động, nhưng hiệu quả truyền nhiệt có thể giảm; nồi không được trượt hoặc mất ổn định</x:v>
      </x:c>
      <x:c r="G16" s="15" t="str">
        <x:v>Khi đặt nồi lệch nhẹ, bếp vẫn hoạt động và làm nóng được nồi; hiệu quả truyền nhiệt có thể giảm nhẹ nhưng nồi vẫn ổn định, không bị trượt</x:v>
      </x:c>
      <x:c r="H16" s="15" t="str">
        <x:v>Đạt</x:v>
      </x:c>
      <x:c r="I16" s="15" t="str">
        <x:v>Không bắt buộc</x:v>
      </x:c>
      <x:c r="J16" s="15" t="str">
        <x:v>Yes</x:v>
      </x:c>
      <x:c r="K16" s="15" t="str">
        <x:v>AI thường bỏ sót vì AI giả định nồi luôn được đặt chính giữa vùng nấu</x:v>
      </x:c>
    </x:row>
  </x:sheetData>
  <x:conditionalFormatting sqref="H2:H16">
    <x:cfRule type="expression" dxfId="0" priority="1">
      <x:formula>H2="Đạt"</x:formula>
    </x:cfRule>
    <x:cfRule type="expression" dxfId="1" priority="2">
      <x:formula>H2="Không đạt"</x:formula>
    </x:cfRule>
  </x:conditionalFormatting>
  <x:conditionalFormatting sqref="J2:J16">
    <x:cfRule type="expression" dxfId="2" priority="3">
      <x:formula>J2="Yes"</x:formula>
    </x:cfRule>
  </x:conditionalFormatting>
  <x:dataValidations count="2">
    <x:dataValidation type="list" sqref="H2:H16">
      <x:formula1>"Đạt,Không đạt,Chưa chạy"</x:formula1>
    </x:dataValidation>
    <x:dataValidation type="list" sqref="J2:J16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85ef2b1c071492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32" hidden="0" customWidth="1"/>
    <x:col min="3" max="3" width="55" hidden="0" customWidth="1"/>
    <x:col min="4" max="4" width="16" hidden="0" customWidth="1"/>
    <x:col min="5" max="5" width="55" hidden="0" customWidth="1"/>
  </x:cols>
  <x:sheetData>
    <x:row r="1" ht="32" customHeight="1">
      <x:c r="A1" s="6" t="str">
        <x:v>No.</x:v>
      </x:c>
      <x:c r="B1" s="6" t="str">
        <x:v>Submission item</x:v>
      </x:c>
      <x:c r="C1" s="6" t="str">
        <x:v>Required by assignment</x:v>
      </x:c>
      <x:c r="D1" s="6" t="str">
        <x:v>Status</x:v>
      </x:c>
      <x:c r="E1" s="6" t="str">
        <x:v>Evidence / Link / Note</x:v>
      </x:c>
    </x:row>
    <x:row r="2" ht="36" customHeight="1">
      <x:c r="A2" s="12" t="n">
        <x:v>1</x:v>
      </x:c>
      <x:c r="B2" s="12" t="str">
        <x:v>Main report (PDF)</x:v>
      </x:c>
      <x:c r="C2" s="12" t="str">
        <x:v>Must contain AI Audit Report + AI Critique + Mandatory Disclosure sections</x:v>
      </x:c>
      <x:c r="D2" s="12" t="str">
        <x:v>To do</x:v>
      </x:c>
      <x:c r="E2" s="12" t="str"/>
    </x:row>
    <x:row r="3" ht="36" customHeight="1">
      <x:c r="A3" s="12" t="n">
        <x:v>2</x:v>
      </x:c>
      <x:c r="B3" s="12" t="str">
        <x:v>Appendix A: Prompt log</x:v>
      </x:c>
      <x:c r="C3" s="12" t="str">
        <x:v>Full prompt log .md or .txt with timestamps</x:v>
      </x:c>
      <x:c r="D3" s="12" t="str">
        <x:v>To do</x:v>
      </x:c>
      <x:c r="E3" s="12" t="str"/>
    </x:row>
    <x:row r="4" ht="36" customHeight="1">
      <x:c r="A4" s="12" t="n">
        <x:v>3</x:v>
      </x:c>
      <x:c r="B4" s="12" t="str">
        <x:v>Excel file</x:v>
      </x:c>
      <x:c r="C4" s="12" t="str">
        <x:v>Test Cases / Checklist / Test Summary Report (incremental)</x:v>
      </x:c>
      <x:c r="D4" s="12" t="str">
        <x:v>Done</x:v>
      </x:c>
      <x:c r="E4" s="12" t="str">
        <x:v>This workbook</x:v>
      </x:c>
    </x:row>
    <x:row r="5" ht="36" customHeight="1">
      <x:c r="A5" s="12" t="n">
        <x:v>4</x:v>
      </x:c>
      <x:c r="B5" s="12" t="str">
        <x:v>Device photo + student ID card</x:v>
      </x:c>
      <x:c r="C5" s="12" t="str">
        <x:v>Photo of the device and student ID card in the same frame</x:v>
      </x:c>
      <x:c r="D5" s="12" t="str">
        <x:v>To do</x:v>
      </x:c>
      <x:c r="E5" s="12" t="str"/>
    </x:row>
    <x:row r="6" ht="36" customHeight="1">
      <x:c r="A6" s="12" t="n">
        <x:v>5</x:v>
      </x:c>
      <x:c r="B6" s="12" t="str">
        <x:v>Product declaration</x:v>
      </x:c>
      <x:c r="C6" s="12" t="str">
        <x:v>Brand, model, year, serial number with middle 4 chars masked</x:v>
      </x:c>
      <x:c r="D6" s="12" t="str">
        <x:v>To do</x:v>
      </x:c>
      <x:c r="E6" s="12" t="str">
        <x:v>Junger ASC-86; fill year/serial in report</x:v>
      </x:c>
    </x:row>
    <x:row r="7" ht="36" customHeight="1">
      <x:c r="A7" s="12" t="n">
        <x:v>6</x:v>
      </x:c>
      <x:c r="B7" s="12" t="str">
        <x:v>15 test cases</x:v>
      </x:c>
      <x:c r="C7" s="12" t="str">
        <x:v>Objective / Input / Steps / Expected / Actual / Verdict</x:v>
      </x:c>
      <x:c r="D7" s="12" t="str">
        <x:v>Done</x:v>
      </x:c>
      <x:c r="E7" s="12" t="str">
        <x:v>Sheet: Test Cases</x:v>
      </x:c>
    </x:row>
    <x:row r="8" ht="36" customHeight="1">
      <x:c r="A8" s="12" t="n">
        <x:v>7</x:v>
      </x:c>
      <x:c r="B8" s="12" t="str">
        <x:v>≥ 5 execution videos</x:v>
      </x:c>
      <x:c r="C8" s="12" t="str">
        <x:v>Short videos ≤ 60s; YouTube Unlisted is primary platform</x:v>
      </x:c>
      <x:c r="D8" s="12" t="str">
        <x:v>In progress</x:v>
      </x:c>
      <x:c r="E8" s="12" t="str">
        <x:v>Current recorded links in Test Cases sheet: TC01, TC06, TC07, TC09, TC14</x:v>
      </x:c>
    </x:row>
    <x:row r="9" ht="36" customHeight="1">
      <x:c r="A9" s="12" t="n">
        <x:v>8</x:v>
      </x:c>
      <x:c r="B9" s="12" t="str">
        <x:v>≥ 3 AI-missed edge cases</x:v>
      </x:c>
      <x:c r="C9" s="12" t="str">
        <x:v>Must include screenshot of AI conversation + written explanation</x:v>
      </x:c>
      <x:c r="D9" s="12" t="str">
        <x:v>Done</x:v>
      </x:c>
      <x:c r="E9" s="12" t="str">
        <x:v>TC13, TC14, TC15</x:v>
      </x:c>
    </x:row>
    <x:row r="10" ht="36" customHeight="1">
      <x:c r="A10" s="12" t="n">
        <x:v>9</x:v>
      </x:c>
      <x:c r="B10" s="12" t="str">
        <x:v>Defects logged as GitHub Issues</x:v>
      </x:c>
      <x:c r="C10" s="12" t="str">
        <x:v>Log physical-device defects as Issues and include screenshot showing GitHub username</x:v>
      </x:c>
      <x:c r="D10" s="12" t="str">
        <x:v>To do</x:v>
      </x:c>
      <x:c r="E10" s="12" t="str">
        <x:v>Sheet: Defect Log can be used first, then copy to GitHub Issues</x:v>
      </x:c>
    </x:row>
    <x:row r="11" ht="36" customHeight="1">
      <x:c r="A11" s="12" t="n">
        <x:v>10</x:v>
      </x:c>
      <x:c r="B11" s="12" t="str">
        <x:v>QA/QC role mindmap</x:v>
      </x:c>
      <x:c r="C11" s="12" t="str">
        <x:v>PNG / Markdown</x:v>
      </x:c>
      <x:c r="D11" s="12" t="str">
        <x:v>To do</x:v>
      </x:c>
      <x:c r="E11" s="12" t="str"/>
    </x:row>
    <x:row r="12" ht="36" customHeight="1">
      <x:c r="A12" s="12" t="n">
        <x:v>11</x:v>
      </x:c>
      <x:c r="B12" s="12" t="str">
        <x:v>[AI-02] AI Audit Report</x:v>
      </x:c>
      <x:c r="C12" s="12" t="str">
        <x:v>5-section per artifact</x:v>
      </x:c>
      <x:c r="D12" s="12" t="str">
        <x:v>To do</x:v>
      </x:c>
      <x:c r="E12" s="12" t="str"/>
    </x:row>
    <x:row r="13" ht="36" customHeight="1">
      <x:c r="A13" s="12" t="n">
        <x:v>12</x:v>
      </x:c>
      <x:c r="B13" s="12" t="str">
        <x:v>[AI-03] AI Disclosure Form</x:v>
      </x:c>
      <x:c r="C13" s="12" t="str">
        <x:v>Signed</x:v>
      </x:c>
      <x:c r="D13" s="12" t="str">
        <x:v>To do</x:v>
      </x:c>
      <x:c r="E13" s="12" t="str"/>
    </x:row>
    <x:row r="14" ht="36" customHeight="1">
      <x:c r="A14" s="12" t="n">
        <x:v>13</x:v>
      </x:c>
      <x:c r="B14" s="12" t="str">
        <x:v>[AI-05] AI Privacy Checklist</x:v>
      </x:c>
      <x:c r="C14" s="12" t="str">
        <x:v>Signed</x:v>
      </x:c>
      <x:c r="D14" s="12" t="str">
        <x:v>To do</x:v>
      </x:c>
      <x:c r="E14" s="12" t="str"/>
    </x:row>
    <x:row r="15" ht="36" customHeight="1">
      <x:c r="A15" s="12" t="n">
        <x:v>14</x:v>
      </x:c>
      <x:c r="B15" s="12" t="str">
        <x:v>Self-assessment section</x:v>
      </x:c>
      <x:c r="C15" s="12" t="str">
        <x:v>At the end of the report</x:v>
      </x:c>
      <x:c r="D15" s="12" t="str">
        <x:v>To do</x:v>
      </x:c>
      <x:c r="E15" s="12" t="str"/>
    </x:row>
  </x:sheetData>
  <x:conditionalFormatting sqref="D2:D15">
    <x:cfRule type="expression" dxfId="3" priority="1">
      <x:formula>D2="Done"</x:formula>
    </x:cfRule>
    <x:cfRule type="expression" dxfId="4" priority="2">
      <x:formula>D2="In progress"</x:formula>
    </x:cfRule>
    <x:cfRule type="expression" dxfId="5" priority="3">
      <x:formula>D2="To do"</x:formula>
    </x:cfRule>
  </x:conditionalFormatting>
  <x:dataValidations count="1">
    <x:dataValidation type="list" sqref="D2:D15">
      <x:formula1>"Done,In progress,To do,Blocked"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a95e1bd79b4ad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2" hidden="0" customWidth="1"/>
    <x:col min="3" max="3" width="14" hidden="0" customWidth="1"/>
    <x:col min="4" max="4" width="4" hidden="0" customWidth="1"/>
    <x:col min="5" max="5" width="30" hidden="0" customWidth="1"/>
    <x:col min="6" max="6" width="28" hidden="0" customWidth="1"/>
  </x:cols>
  <x:sheetData>
    <x:row r="1" ht="32" customHeight="1">
      <x:c r="A1" s="21" t="str">
        <x:v>Test Summary Report - Junger ASC-86 Infrared Cooker</x:v>
      </x:c>
    </x:row>
    <x:row r="2" ht="36" customHeight="1"/>
    <x:row r="3" ht="36" customHeight="1">
      <x:c r="A3" s="24" t="str">
        <x:v>Product</x:v>
      </x:c>
      <x:c r="B3" t="str">
        <x:v>Bếp hồng ngoại Junger ASC-86</x:v>
      </x:c>
      <x:c r="C3" t="str"/>
      <x:c r="D3" t="str"/>
      <x:c r="E3" t="str"/>
      <x:c r="F3" t="str"/>
    </x:row>
    <x:row r="4" ht="36" customHeight="1">
      <x:c r="A4" s="24" t="str">
        <x:v>Created for</x:v>
      </x:c>
      <x:c r="B4" t="str">
        <x:v>HW01 - Requirement 3</x:v>
      </x:c>
      <x:c r="C4" t="str"/>
      <x:c r="D4" t="str"/>
      <x:c r="E4" t="str"/>
      <x:c r="F4" t="str"/>
    </x:row>
    <x:row r="5" ht="36" customHeight="1">
      <x:c r="A5" s="24" t="str">
        <x:v>Last updated</x:v>
      </x:c>
      <x:c r="B5" t="str">
        <x:v>07/06/2026 20:29</x:v>
      </x:c>
      <x:c r="C5" t="str"/>
      <x:c r="D5" t="str"/>
      <x:c r="E5" t="str"/>
      <x:c r="F5" t="str"/>
    </x:row>
    <x:row r="6" ht="36" customHeight="1"/>
    <x:row r="7" ht="36" customHeight="1">
      <x:c r="A7" s="6" t="str">
        <x:v>Metric</x:v>
      </x:c>
      <x:c r="B7" s="6" t="str">
        <x:v>Formula / Source</x:v>
      </x:c>
      <x:c r="C7" s="6" t="str">
        <x:v>Value</x:v>
      </x:c>
      <x:c r="D7" s="6" t="str"/>
      <x:c r="E7" s="6" t="str">
        <x:v>Requirement</x:v>
      </x:c>
      <x:c r="F7" s="6" t="str">
        <x:v>Current Status</x:v>
      </x:c>
    </x:row>
    <x:row r="8" ht="36" customHeight="1">
      <x:c r="A8" s="12" t="str">
        <x:v>Total test cases</x:v>
      </x:c>
      <x:c r="B8" s="12" t="str">
        <x:v>COUNTA(Test Cases!A2:A16)</x:v>
      </x:c>
      <x:c r="C8" s="12" t="n">
        <x:f>COUNTA('Test Cases'!A2:A16)</x:f>
        <x:v>15</x:v>
      </x:c>
      <x:c r="D8" s="12"/>
      <x:c r="E8" s="12" t="str">
        <x:v>15 test cases total</x:v>
      </x:c>
      <x:c r="F8" s="12" t="str">
        <x:f>IF(C8=15,"OK","Check")</x:f>
        <x:v>OK</x:v>
      </x:c>
    </x:row>
    <x:row r="9" ht="36" customHeight="1">
      <x:c r="A9" s="12" t="str">
        <x:v>Passed</x:v>
      </x:c>
      <x:c r="B9" s="12" t="str">
        <x:v>COUNTIF(Test Cases!H2:H16,"Đạt")</x:v>
      </x:c>
      <x:c r="C9" s="12" t="n">
        <x:f>COUNTIF('Test Cases'!H2:H16,"Đạt")</x:f>
        <x:v>15</x:v>
      </x:c>
      <x:c r="D9" s="12"/>
      <x:c r="E9" s="12" t="str">
        <x:v>Verdict recorded</x:v>
      </x:c>
      <x:c r="F9" s="12" t="str">
        <x:f>IF(C9&gt;=1,"OK","Check")</x:f>
        <x:v>OK</x:v>
      </x:c>
    </x:row>
    <x:row r="10" ht="36" customHeight="1">
      <x:c r="A10" s="12" t="str">
        <x:v>Failed</x:v>
      </x:c>
      <x:c r="B10" s="12" t="str">
        <x:v>COUNTIF(Test Cases!H2:H16,"Không đạt")</x:v>
      </x:c>
      <x:c r="C10" s="12" t="n">
        <x:f>COUNTIF('Test Cases'!H2:H16,"Không đạt")</x:f>
        <x:v>0</x:v>
      </x:c>
      <x:c r="D10" s="12"/>
      <x:c r="E10" s="12" t="str">
        <x:v>Aim to find ≥ 5 defects</x:v>
      </x:c>
      <x:c r="F10" s="12" t="str">
        <x:f>IF(C10&gt;=5,"OK - enough defects","Current defects &lt; 5")</x:f>
        <x:v>Current defects &lt; 5</x:v>
      </x:c>
    </x:row>
    <x:row r="11" ht="36" customHeight="1">
      <x:c r="A11" s="12" t="str">
        <x:v>Not executed / pending</x:v>
      </x:c>
      <x:c r="B11" s="12" t="str">
        <x:v>COUNTIF(Test Cases!H2:H16,"Chưa chạy")+COUNTBLANK(Test Cases!H2:H16)</x:v>
      </x:c>
      <x:c r="C11" s="12" t="n">
        <x:f>COUNTIF('Test Cases'!H2:H16,"Chưa chạy")+COUNTBLANK('Test Cases'!H2:H16)</x:f>
        <x:v>0</x:v>
      </x:c>
      <x:c r="D11" s="12"/>
      <x:c r="E11" s="12" t="str">
        <x:v>Track incremental execution</x:v>
      </x:c>
      <x:c r="F11" s="12" t="str">
        <x:f>IF(C11=0,"OK","Has pending")</x:f>
        <x:v>OK</x:v>
      </x:c>
    </x:row>
    <x:row r="12" ht="36" customHeight="1">
      <x:c r="A12" s="12" t="str">
        <x:v>Edge cases</x:v>
      </x:c>
      <x:c r="B12" s="12" t="str">
        <x:v>COUNTIF(Test Cases!J2:J16,"Yes")</x:v>
      </x:c>
      <x:c r="C12" s="12" t="n">
        <x:f>COUNTIF('Test Cases'!J2:J16,"Yes")</x:f>
        <x:v>3</x:v>
      </x:c>
      <x:c r="D12" s="12"/>
      <x:c r="E12" s="12" t="str">
        <x:v>≥ 3 edge cases AI missed</x:v>
      </x:c>
      <x:c r="F12" s="12" t="str">
        <x:f>IF(C12&gt;=3,"OK","Need more edge cases")</x:f>
        <x:v>OK</x:v>
      </x:c>
    </x:row>
    <x:row r="13" ht="36" customHeight="1">
      <x:c r="A13" s="12" t="str">
        <x:v>Recorded YouTube links</x:v>
      </x:c>
      <x:c r="B13" s="12" t="str">
        <x:v>COUNTIF(Test Cases!I2:I16,"https://*")</x:v>
      </x:c>
      <x:c r="C13" s="12" t="n">
        <x:f>COUNTIF('Test Cases'!I2:I16,"https://*")</x:f>
        <x:v>0</x:v>
      </x:c>
      <x:c r="D13" s="12"/>
      <x:c r="E13" s="12" t="str">
        <x:v>≥ 5 execution videos</x:v>
      </x:c>
      <x:c r="F13" s="12" t="str">
        <x:f>IF(C13&gt;=5,"OK","Need ≥ 5 video links")</x:f>
        <x:v>Need ≥ 5 video links</x:v>
      </x:c>
    </x:row>
    <x:row r="14" ht="36" customHeight="1"/>
    <x:row r="15" ht="36" customHeight="1"/>
    <x:row r="16" ht="36" customHeight="1">
      <x:c r="A16" s="6" t="str">
        <x:v>Verdict</x:v>
      </x:c>
      <x:c r="B16" s="6" t="str">
        <x:v>Count</x:v>
      </x:c>
      <x:c r="C16" s="6" t="str">
        <x:v>Percentage</x:v>
      </x:c>
      <x:c r="E16" s="6" t="str">
        <x:v>Edge Case ID</x:v>
      </x:c>
      <x:c r="F16" s="6" t="str">
        <x:v>Reason AI may miss it</x:v>
      </x:c>
    </x:row>
    <x:row r="17" ht="36" customHeight="1">
      <x:c r="A17" t="str">
        <x:v>Đạt</x:v>
      </x:c>
      <x:c r="B17" t="n">
        <x:f>COUNTIF('Test Cases'!$H$2:$H$16,A17)</x:f>
        <x:v>15</x:v>
      </x:c>
      <x:c r="C17" s="26" t="n">
        <x:f>IF($C$8=0,0,B17/$C$8)</x:f>
        <x:v>1</x:v>
      </x:c>
      <x:c r="E17" s="12" t="str">
        <x:v>TC13</x:v>
      </x:c>
      <x:c r="F17" s="12" t="str">
        <x:v>Đây là edge case AI dễ bỏ sót vì AI thường giả định người dùng dùng nồi có kích thước chuẩn</x:v>
      </x:c>
    </x:row>
    <x:row r="18" ht="36" customHeight="1">
      <x:c r="A18" t="str">
        <x:v>Không đạt</x:v>
      </x:c>
      <x:c r="B18" t="n">
        <x:f>COUNTIF('Test Cases'!$H$2:$H$16,A18)</x:f>
        <x:v>0</x:v>
      </x:c>
      <x:c r="C18" s="26" t="n">
        <x:f>IF($C$8=0,0,B18/$C$8)</x:f>
        <x:v>0</x:v>
      </x:c>
      <x:c r="E18" s="12" t="str">
        <x:v>TC14</x:v>
      </x:c>
      <x:c r="F18" s="12" t="str">
        <x:v>Đây là edge case về hành vi người dùng không chuẩn, AI thường chỉ sinh test theo thao tác bình thường</x:v>
      </x:c>
    </x:row>
    <x:row r="19" ht="36" customHeight="1">
      <x:c r="A19" t="str">
        <x:v>Chưa chạy</x:v>
      </x:c>
      <x:c r="B19" t="n">
        <x:f>COUNTIF('Test Cases'!$H$2:$H$16,A19)+COUNTBLANK('Test Cases'!$H$2:$H$16)</x:f>
        <x:v>0</x:v>
      </x:c>
      <x:c r="C19" s="26" t="n">
        <x:f>IF($C$8=0,0,B19/$C$8)</x:f>
        <x:v>0</x:v>
      </x:c>
      <x:c r="E19" s="12" t="str">
        <x:v>TC15</x:v>
      </x:c>
      <x:c r="F19" s="12" t="str">
        <x:v>AI thường bỏ sót vì AI giả định nồi luôn được đặt chính giữa vùng nấu</x:v>
      </x:c>
    </x:row>
    <x:row r="20" ht="36" customHeight="1"/>
    <x:row r="21" ht="36" customHeight="1"/>
    <x:row r="22" ht="36" customHeight="1"/>
  </x:sheetData>
  <x:mergeCells>
    <x:mergeCell ref="A1:F1"/>
  </x:mergeCells>
  <x:conditionalFormatting sqref="F8:F13">
    <x:cfRule type="expression" dxfId="6" priority="1">
      <x:formula>LEFT(F8,2)="OK"</x:formula>
    </x:cfRule>
    <x:cfRule type="expression" dxfId="7" priority="2">
      <x:formula>LEFT(F8,5)="Check"</x:formula>
    </x:cfRule>
    <x:cfRule type="expression" dxfId="8" priority="3">
      <x:formula>LEFT(F8,4)="Need"</x:formula>
    </x:cfRule>
    <x:cfRule type="expression" dxfId="9" priority="4">
      <x:formula>LEFT(F8,7)="Current"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4" hidden="0" customWidth="1"/>
    <x:col min="4" max="4" width="14" hidden="0" customWidth="1"/>
    <x:col min="5" max="5" width="45" hidden="0" customWidth="1"/>
    <x:col min="6" max="6" width="35" hidden="0" customWidth="1"/>
    <x:col min="7" max="7" width="35" hidden="0" customWidth="1"/>
    <x:col min="8" max="8" width="16" hidden="0" customWidth="1"/>
    <x:col min="9" max="9" width="38" hidden="0" customWidth="1"/>
  </x:cols>
  <x:sheetData>
    <x:row r="1" ht="32" customHeight="1">
      <x:c r="A1" s="6" t="str">
        <x:v>Issue ID</x:v>
      </x:c>
      <x:c r="B1" s="6" t="str">
        <x:v>Related TC</x:v>
      </x:c>
      <x:c r="C1" s="6" t="str">
        <x:v>Defect title</x:v>
      </x:c>
      <x:c r="D1" s="6" t="str">
        <x:v>Severity</x:v>
      </x:c>
      <x:c r="E1" s="6" t="str">
        <x:v>Description / Evidence</x:v>
      </x:c>
      <x:c r="F1" s="6" t="str">
        <x:v>Expected behavior</x:v>
      </x:c>
      <x:c r="G1" s="6" t="str">
        <x:v>Actual behavior</x:v>
      </x:c>
      <x:c r="H1" s="6" t="str">
        <x:v>Status</x:v>
      </x:c>
      <x:c r="I1" s="6" t="str">
        <x:v>GitHub Issue URL</x:v>
      </x:c>
    </x:row>
    <x:row r="2" ht="36" customHeight="1">
      <x:c r="A2" s="12" t="str">
        <x:v>DEF-01</x:v>
      </x:c>
      <x:c r="B2" s="12" t="str"/>
      <x:c r="C2" s="12" t="str"/>
      <x:c r="D2" s="12" t="str"/>
      <x:c r="E2" s="12" t="str"/>
      <x:c r="F2" s="12" t="str"/>
      <x:c r="G2" s="12" t="str"/>
      <x:c r="H2" s="12" t="str">
        <x:v>To log</x:v>
      </x:c>
      <x:c r="I2" s="12" t="str"/>
    </x:row>
    <x:row r="3" ht="36" customHeight="1">
      <x:c r="A3" s="12" t="str">
        <x:v>DEF-02</x:v>
      </x:c>
      <x:c r="B3" s="12" t="str"/>
      <x:c r="C3" s="12" t="str"/>
      <x:c r="D3" s="12" t="str"/>
      <x:c r="E3" s="12" t="str"/>
      <x:c r="F3" s="12" t="str"/>
      <x:c r="G3" s="12" t="str"/>
      <x:c r="H3" s="12" t="str">
        <x:v>To log</x:v>
      </x:c>
      <x:c r="I3" s="12" t="str"/>
    </x:row>
    <x:row r="4" ht="36" customHeight="1">
      <x:c r="A4" s="12" t="str">
        <x:v>DEF-03</x:v>
      </x:c>
      <x:c r="B4" s="12" t="str"/>
      <x:c r="C4" s="12" t="str"/>
      <x:c r="D4" s="12" t="str"/>
      <x:c r="E4" s="12" t="str"/>
      <x:c r="F4" s="12" t="str"/>
      <x:c r="G4" s="12" t="str"/>
      <x:c r="H4" s="12" t="str">
        <x:v>To log</x:v>
      </x:c>
      <x:c r="I4" s="12" t="str"/>
    </x:row>
    <x:row r="5" ht="36" customHeight="1">
      <x:c r="A5" s="12" t="str">
        <x:v>DEF-04</x:v>
      </x:c>
      <x:c r="B5" s="12" t="str"/>
      <x:c r="C5" s="12" t="str"/>
      <x:c r="D5" s="12" t="str"/>
      <x:c r="E5" s="12" t="str"/>
      <x:c r="F5" s="12" t="str"/>
      <x:c r="G5" s="12" t="str"/>
      <x:c r="H5" s="12" t="str">
        <x:v>To log</x:v>
      </x:c>
      <x:c r="I5" s="12" t="str"/>
    </x:row>
    <x:row r="6" ht="36" customHeight="1">
      <x:c r="A6" s="12" t="str">
        <x:v>DEF-05</x:v>
      </x:c>
      <x:c r="B6" s="12" t="str"/>
      <x:c r="C6" s="12" t="str"/>
      <x:c r="D6" s="12" t="str"/>
      <x:c r="E6" s="12" t="str"/>
      <x:c r="F6" s="12" t="str"/>
      <x:c r="G6" s="12" t="str"/>
      <x:c r="H6" s="12" t="str">
        <x:v>To log</x:v>
      </x:c>
      <x:c r="I6" s="12" t="str"/>
    </x:row>
  </x:sheetData>
  <x:dataValidations count="2">
    <x:dataValidation type="list" sqref="D2:D100">
      <x:formula1>"Low,Medium,High,Critical"</x:formula1>
    </x:dataValidation>
    <x:dataValidation type="list" sqref="H2:H100">
      <x:formula1>"To log,Open,Closed,Won't fix"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b6913910164fd0"/>
  </x:tableParts>
</x:worksheet>
</file>