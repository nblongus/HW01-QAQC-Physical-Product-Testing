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Checklist" sheetId="2" r:id="rId6"/>
    <sheet state="visible" name="Test Summary Report" sheetId="3" r:id="rId7"/>
    <sheet state="visible" name="Defect Log" sheetId="4" r:id="rId8"/>
  </sheets>
  <definedNames/>
  <calcPr/>
</workbook>
</file>

<file path=xl/sharedStrings.xml><?xml version="1.0" encoding="utf-8"?>
<sst xmlns="http://schemas.openxmlformats.org/spreadsheetml/2006/main" count="280" uniqueCount="218">
  <si>
    <t>Test Case ID</t>
  </si>
  <si>
    <t>Tên test case</t>
  </si>
  <si>
    <t>Mục tiêu</t>
  </si>
  <si>
    <t>Dữ liệu đầu vào</t>
  </si>
  <si>
    <t>Các bước thực hiện</t>
  </si>
  <si>
    <t>Kết quả mong đợi</t>
  </si>
  <si>
    <t>Kết quả thực tế</t>
  </si>
  <si>
    <t>Kết luận</t>
  </si>
  <si>
    <t>Video</t>
  </si>
  <si>
    <t>Edge case?</t>
  </si>
  <si>
    <t>Ghi chú edge case</t>
  </si>
  <si>
    <t>TC01</t>
  </si>
  <si>
    <t>Bật nguồn / Khởi động bếp</t>
  </si>
  <si>
    <t>Kiểm tra bếp có bật nguồn bình thường không</t>
  </si>
  <si>
    <t>Bếp được cắm vào ổ điện 220V</t>
  </si>
  <si>
    <t>1. Đặt bếp trên mặt phẳng khô.
2. Cắm điện.
3. Nhấn nút nguồn.</t>
  </si>
  <si>
    <t>Bếp bật, màn hình/đèn báo hoạt động, có tín hiệu âm thanh hoặc hiển thị trạng thái sẵn sàng</t>
  </si>
  <si>
    <t>Bếp bật bình thường, màn hình/đèn báo sáng và có tín hiệu phản hồi khi nhấn nút nguồn</t>
  </si>
  <si>
    <t>Đạt</t>
  </si>
  <si>
    <t>https://youtube.com/shorts/Z7WCajjYagU</t>
  </si>
  <si>
    <t>No</t>
  </si>
  <si>
    <t>TC02</t>
  </si>
  <si>
    <t>Tắt nguồn</t>
  </si>
  <si>
    <t>Kiểm tra chức năng tắt bếp</t>
  </si>
  <si>
    <t>Bếp đang bật</t>
  </si>
  <si>
    <t>1. Bật bếp.
2. Nhấn nút nguồn để tắt.</t>
  </si>
  <si>
    <t>Bếp tắt, màn hình/đèn báo chuyển về trạng thái tắt hoặc chờ</t>
  </si>
  <si>
    <t>Bếp tắt bình thường sau khi nhấn nút nguồn, màn hình/đèn báo chuyển về trạng thái tắt hoặc chờ</t>
  </si>
  <si>
    <t>Có thể quay</t>
  </si>
  <si>
    <t>TC03</t>
  </si>
  <si>
    <t>Kiểm tra khả năng sinh nhiệt</t>
  </si>
  <si>
    <t>Kiểm tra bếp có sinh nhiệt khi nấu không</t>
  </si>
  <si>
    <t>Nồi có nước đặt trên vùng nấu</t>
  </si>
  <si>
    <t>1. Đặt nồi nước lên bếp.
2. Bật bếp.
3. Chọn mức nhiệt trung bình.
4. Quan sát nước nóng dần.</t>
  </si>
  <si>
    <t>Vùng nấu nóng lên, nước tăng nhiệt sau một thời gian ngắn</t>
  </si>
  <si>
    <t>Vùng nấu nóng lên sau khi bật bếp, nước trong nồi bắt đầu nóng dần sau một thời gian ngắn</t>
  </si>
  <si>
    <t>Nên quay</t>
  </si>
  <si>
    <t>TC04</t>
  </si>
  <si>
    <t>Chế độ công suất tối đa / Mức nhiệt cao</t>
  </si>
  <si>
    <t>Kiểm tra bếp hoạt động ở mức công suất cao</t>
  </si>
  <si>
    <t>Nồi nước, mức công suất cao nhất</t>
  </si>
  <si>
    <t>1. Đặt nồi nước lên bếp.
2. Bật bếp.
3. Tăng công suất lên mức cao nhất.
4. Quan sát tốc độ nóng và âm thanh quạt tản nhiệt.</t>
  </si>
  <si>
    <t>Bếp tăng nhiệt rõ rệt, quạt tản nhiệt hoạt động, không tự tắt bất thường</t>
  </si>
  <si>
    <t>Khi tăng lên mức cao nhất, bếp nóng nhanh hơn rõ rệt, quạt tản nhiệt hoạt động và bếp không tự tắt bất thường</t>
  </si>
  <si>
    <t>TC05</t>
  </si>
  <si>
    <t>Chế độ nhiệt thấp</t>
  </si>
  <si>
    <t>Kiểm tra bếp hoạt động ở mức nhiệt thấp</t>
  </si>
  <si>
    <t>Nồi nước hoặc chảo rỗng phù hợp</t>
  </si>
  <si>
    <t>1. Bật bếp.
2. Chọn mức nhiệt thấp.
3. Quan sát nhiệt sinh ra trong thời gian ngắn.</t>
  </si>
  <si>
    <t>Bếp vẫn sinh nhiệt nhưng nhẹ hơn mức cao, không tắt đột ngột</t>
  </si>
  <si>
    <t>Bếp vẫn sinh nhiệt ở mức thấp, nhiệt nhẹ hơn so với mức cao và không xảy ra hiện tượng tắt đột ngột</t>
  </si>
  <si>
    <t>Không bắt buộc</t>
  </si>
  <si>
    <t>TC06</t>
  </si>
  <si>
    <t>Nút tăng công suất</t>
  </si>
  <si>
    <t>Kiểm tra nút tăng công suất</t>
  </si>
  <si>
    <t>Bếp đang hoạt động</t>
  </si>
  <si>
    <t>1. Bật bếp.
2. Nhấn nút tăng công suất nhiều lần.
3. Quan sát màn hình hiển thị.</t>
  </si>
  <si>
    <t>Mức công suất/nhiệt tăng theo từng lần nhấn, màn hình phản hồi đúng</t>
  </si>
  <si>
    <t>Mỗi lần nhấn nút tăng, mức công suất/nhiệt tăng tương ứng và màn hình hiển thị đúng thay đổi</t>
  </si>
  <si>
    <t>https://youtube.com/shorts/KCwLg3wy3HA</t>
  </si>
  <si>
    <t>TC07</t>
  </si>
  <si>
    <t>Nút giảm công suất</t>
  </si>
  <si>
    <t>Kiểm tra nút giảm công suất</t>
  </si>
  <si>
    <t>Bếp đang hoạt động ở mức trung bình/cao</t>
  </si>
  <si>
    <t>1. Bật bếp.
2. Đặt mức công suất cao.
3. Nhấn nút giảm công suất nhiều lần.</t>
  </si>
  <si>
    <t>Mức công suất/nhiệt giảm theo từng lần nhấn, màn hình phản hồi đúng</t>
  </si>
  <si>
    <t>Mỗi lần nhấn nút giảm, mức công suất/nhiệt giảm tương ứng và màn hình hiển thị đúng thay đổi</t>
  </si>
  <si>
    <t>https://youtube.com/shorts/iSDRK9koJ-w</t>
  </si>
  <si>
    <t>TC08</t>
  </si>
  <si>
    <t>Chức năng hẹn giờ</t>
  </si>
  <si>
    <t>Kiểm tra chức năng hẹn giờ</t>
  </si>
  <si>
    <t>Bếp đang hoạt động, cài thời gian hẹn giờ ngắn</t>
  </si>
  <si>
    <t>1. Bật bếp.
2. Chọn chế độ nấu.
3. Cài hẹn giờ khoảng 1-2 phút.
4. Chờ hết thời gian.</t>
  </si>
  <si>
    <t>Bếp tự dừng hoặc báo hiệu khi hết thời gian hẹn giờ</t>
  </si>
  <si>
    <t>Sau khi hết thời gian hẹn giờ, bếp có phản hồi báo hiệu và dừng/chuyển trạng thái theo đúng chức năng hẹn giờ</t>
  </si>
  <si>
    <t>TC09</t>
  </si>
  <si>
    <t>Độ phản hồi của bảng điều khiển</t>
  </si>
  <si>
    <t>Kiểm tra độ nhạy của bảng điều khiển cảm ứng/nút bấm</t>
  </si>
  <si>
    <t>Tay khô, bảng điều khiển sạch</t>
  </si>
  <si>
    <t>1. Bật bếp.
2. Nhấn lần lượt các nút nguồn, tăng, giảm, hẹn giờ.
3. Quan sát độ phản hồi.</t>
  </si>
  <si>
    <t>Các nút phản hồi ổn định, không bị trễ quá lâu, không nhận sai lệnh</t>
  </si>
  <si>
    <t>Các nút trên bảng điều khiển phản hồi ổn định, không bị trễ rõ rệt và không nhận sai lệnh</t>
  </si>
  <si>
    <t>https://youtube.com/shorts/Rn9ZjYZ-hEQ</t>
  </si>
  <si>
    <t>TC10</t>
  </si>
  <si>
    <t>Khả năng tương thích với nhiều loại nồi/chảo</t>
  </si>
  <si>
    <t>Kiểm tra khả năng dùng với nhiều loại nồi/chảo</t>
  </si>
  <si>
    <t>Nồi inox, nồi nhôm hoặc chảo đáy phẳng</t>
  </si>
  <si>
    <t>1. Lần lượt đặt từng loại nồi/chảo lên bếp.
2. Bật bếp ở mức trung bình.
3. Quan sát khả năng sinh nhiệt.</t>
  </si>
  <si>
    <t>Vì là bếp hồng ngoại, bếp có thể làm nóng nhiều loại nồi/chảo đáy phẳng phù hợp</t>
  </si>
  <si>
    <t>Bếp làm nóng được các loại nồi/chảo đáy phẳng phù hợp, không báo lỗi khi thay đổi dụng cụ nấu</t>
  </si>
  <si>
    <t>TC11</t>
  </si>
  <si>
    <t>Quạt tản nhiệt sau khi nấu</t>
  </si>
  <si>
    <t>Kiểm tra quạt tản nhiệt sau khi tắt bếp</t>
  </si>
  <si>
    <t>Bếp vừa hoạt động trong vài phút</t>
  </si>
  <si>
    <t>1. Cho bếp hoạt động ở mức trung bình/cao trong thời gian ngắn.
2. Tắt bếp.
3. Lắng nghe/quan sát quạt tản nhiệt.</t>
  </si>
  <si>
    <t>Quạt có thể tiếp tục chạy một thời gian để làm mát, sau đó dừng</t>
  </si>
  <si>
    <t>Sau khi tắt bếp, quạt tản nhiệt tiếp tục chạy trong một thời gian ngắn để làm mát rồi dừng lại</t>
  </si>
  <si>
    <t>TC12</t>
  </si>
  <si>
    <t>Cảnh báo nhiệt dư</t>
  </si>
  <si>
    <t>Kiểm tra cảnh báo nhiệt dư sau khi tắt bếp</t>
  </si>
  <si>
    <t>Bếp vừa nấu xong, mặt kính còn nóng</t>
  </si>
  <si>
    <t>1. Nấu trong vài phút.
2. Tắt bếp.
3. Quan sát màn hình/đèn báo.</t>
  </si>
  <si>
    <t>Bếp có cảnh báo mặt bếp còn nóng, ví dụ ký hiệu nhiệt dư hoặc đèn báo</t>
  </si>
  <si>
    <t>Sau khi tắt bếp, màn hình/đèn báo vẫn thể hiện trạng thái mặt bếp còn nóng để nhắc người dùng cẩn thận</t>
  </si>
  <si>
    <t>TC13</t>
  </si>
  <si>
    <t>Edge case: Đặt nồi rất nhỏ</t>
  </si>
  <si>
    <t>Kiểm tra bếp khi dùng nồi nhỏ hơn nhiều so với vùng nấu 20 cm</t>
  </si>
  <si>
    <t>Nồi/chảo đáy phẳng nhỏ, đặt đúng giữa vùng nấu</t>
  </si>
  <si>
    <t>1. Đặt nồi nhỏ lên vùng nấu.
2. Bật bếp ở mức thấp/trung bình.
3. Quan sát độ ổn định và vùng nhiệt.</t>
  </si>
  <si>
    <t>Bếp vẫn hoạt động, nhưng nhiệt có thể phân bố không tối ưu; không được báo lỗi sai hoặc tự tắt bất thường</t>
  </si>
  <si>
    <t>Khi dùng nồi nhỏ, bếp vẫn hoạt động ổn định, không báo lỗi và không tự tắt bất thường; vùng nhiệt có thể không phủ đều toàn bộ đáy nồi</t>
  </si>
  <si>
    <t>Yes</t>
  </si>
  <si>
    <t>Đây là edge case AI dễ bỏ sót vì AI thường giả định người dùng dùng nồi có kích thước chuẩn</t>
  </si>
  <si>
    <t>TC14</t>
  </si>
  <si>
    <t>Edge case: Nhấn nút liên tục</t>
  </si>
  <si>
    <t>Kiểm tra bảng điều khiển khi người dùng nhấn nút liên tục</t>
  </si>
  <si>
    <t>1. Bật bếp.
2. Nhấn nút tăng/giảm công suất liên tục nhiều lần với tốc độ nhanh.
3. Quan sát màn hình và phản hồi.</t>
  </si>
  <si>
    <t>Bếp không treo, không nhận sai lệnh nghiêm trọng, mức công suất thay đổi hợp lý</t>
  </si>
  <si>
    <t>Khi nhấn nút tăng/giảm liên tục, bếp vẫn phản hồi ổn định, không bị treo và mức công suất thay đổi hợp lý</t>
  </si>
  <si>
    <t>https://youtube.com/shorts/SF9aW7VgUGk</t>
  </si>
  <si>
    <t>Đây là edge case về hành vi người dùng không chuẩn, AI thường chỉ sinh test theo thao tác bình thường</t>
  </si>
  <si>
    <t>TC15</t>
  </si>
  <si>
    <t>Edge case: Đặt nồi lệch nhẹ khỏi tâm</t>
  </si>
  <si>
    <t>Kiểm tra hiệu quả nấu khi nồi đặt lệch nhẹ khỏi tâm vùng nấu</t>
  </si>
  <si>
    <t>Nồi đáy phẳng đặt lệch nhẹ nhưng vẫn nằm an toàn trên mặt bếp</t>
  </si>
  <si>
    <t>1. Đặt nồi lệch nhẹ khỏi tâm vùng nấu.
2. Bật mức nhiệt thấp/trung bình.
3. Quan sát khả năng làm nóng và độ ổn định của nồi.</t>
  </si>
  <si>
    <t>Bếp vẫn hoạt động, nhưng hiệu quả truyền nhiệt có thể giảm; nồi không được trượt hoặc mất ổn định</t>
  </si>
  <si>
    <t>Khi đặt nồi lệch nhẹ, bếp vẫn hoạt động và làm nóng được nồi; hiệu quả truyền nhiệt có thể giảm nhẹ nhưng nồi vẫn ổn định, không bị trượt</t>
  </si>
  <si>
    <t>AI thường bỏ sót vì AI giả định nồi luôn được đặt chính giữa vùng nấu</t>
  </si>
  <si>
    <t>No.</t>
  </si>
  <si>
    <t>Submission item</t>
  </si>
  <si>
    <t>Required by assignment</t>
  </si>
  <si>
    <t>Status</t>
  </si>
  <si>
    <t>Evidence / Link / Note</t>
  </si>
  <si>
    <t>Main report (PDF)</t>
  </si>
  <si>
    <t>Must contain AI Audit Report + AI Critique + Mandatory Disclosure sections</t>
  </si>
  <si>
    <t>Done</t>
  </si>
  <si>
    <t>Appendix A: Prompt log</t>
  </si>
  <si>
    <t>Full prompt log .md or .txt with timestamps</t>
  </si>
  <si>
    <t>Excel file</t>
  </si>
  <si>
    <t>Test Cases / Checklist / Test Summary Report (incremental)</t>
  </si>
  <si>
    <t>This workbook</t>
  </si>
  <si>
    <t>Device photo + student ID card</t>
  </si>
  <si>
    <t>Photo of the device and student ID card in the same frame</t>
  </si>
  <si>
    <t>Product declaration</t>
  </si>
  <si>
    <t>Brand, model, year, serial number with middle 4 chars masked</t>
  </si>
  <si>
    <t>Junger ASC-86; fill year/serial in report</t>
  </si>
  <si>
    <t>15 test cases</t>
  </si>
  <si>
    <t>Objective / Input / Steps / Expected / Actual / Verdict</t>
  </si>
  <si>
    <t>Sheet: Test Cases</t>
  </si>
  <si>
    <t>≥ 5 execution videos</t>
  </si>
  <si>
    <t>Short videos ≤ 60s; YouTube Unlisted is primary platform</t>
  </si>
  <si>
    <t>Current recorded links in Test Cases sheet: TC01, TC06, TC07, TC09, TC14</t>
  </si>
  <si>
    <t>≥ 3 AI-missed edge cases</t>
  </si>
  <si>
    <t>Must include screenshot of AI conversation + written explanation</t>
  </si>
  <si>
    <t>TC13, TC14, TC15</t>
  </si>
  <si>
    <t>Defects logged as GitHub Issues</t>
  </si>
  <si>
    <t>Log physical-device defects as Issues and include screenshot showing GitHub username</t>
  </si>
  <si>
    <t>Sheet: Defect Log can be used first, then copy to GitHub Issues</t>
  </si>
  <si>
    <t>QA/QC role mindmap</t>
  </si>
  <si>
    <t>PNG / Markdown</t>
  </si>
  <si>
    <t>[AI-02] AI Audit Report</t>
  </si>
  <si>
    <t>5-section per artifact</t>
  </si>
  <si>
    <t>[AI-03] AI Disclosure Form</t>
  </si>
  <si>
    <t>Signed</t>
  </si>
  <si>
    <t>[AI-05] AI Privacy Checklist</t>
  </si>
  <si>
    <t>Self-assessment section</t>
  </si>
  <si>
    <t>At the end of the report</t>
  </si>
  <si>
    <t>Test Summary Report - Junger ASC-86 Infrared Cooker</t>
  </si>
  <si>
    <t>Product</t>
  </si>
  <si>
    <t>Bếp hồng ngoại Junger ASC-86</t>
  </si>
  <si>
    <t>Created for</t>
  </si>
  <si>
    <t>HW01 - Requirement 3</t>
  </si>
  <si>
    <t>Last updated</t>
  </si>
  <si>
    <t>07/06/2026 20:29</t>
  </si>
  <si>
    <t>Metric</t>
  </si>
  <si>
    <t>Formula / Source</t>
  </si>
  <si>
    <t>Value</t>
  </si>
  <si>
    <t>Requirement</t>
  </si>
  <si>
    <t>Current Status</t>
  </si>
  <si>
    <t>Total test cases</t>
  </si>
  <si>
    <t>COUNTA(Test Cases!A2:A16)</t>
  </si>
  <si>
    <t>15 test cases total</t>
  </si>
  <si>
    <t>Passed</t>
  </si>
  <si>
    <t>COUNTIF(Test Cases!H2:H16,"Đạt")</t>
  </si>
  <si>
    <t>Verdict recorded</t>
  </si>
  <si>
    <t>Failed</t>
  </si>
  <si>
    <t>COUNTIF(Test Cases!H2:H16,"Không đạt")</t>
  </si>
  <si>
    <t>Aim to find ≥ 5 defects</t>
  </si>
  <si>
    <t>Not executed / pending</t>
  </si>
  <si>
    <t>COUNTIF(Test Cases!H2:H16,"Chưa chạy")+COUNTBLANK(Test Cases!H2:H16)</t>
  </si>
  <si>
    <t>Track incremental execution</t>
  </si>
  <si>
    <t>Edge cases</t>
  </si>
  <si>
    <t>COUNTIF(Test Cases!J2:J16,"Yes")</t>
  </si>
  <si>
    <t>≥ 3 edge cases AI missed</t>
  </si>
  <si>
    <t>Recorded YouTube links</t>
  </si>
  <si>
    <t>COUNTIF(Test Cases!I2:I16,"https://*")</t>
  </si>
  <si>
    <t>Verdict</t>
  </si>
  <si>
    <t>Count</t>
  </si>
  <si>
    <t>Percentage</t>
  </si>
  <si>
    <t>Edge Case ID</t>
  </si>
  <si>
    <t>Reason AI may miss it</t>
  </si>
  <si>
    <t>Không đạt</t>
  </si>
  <si>
    <t>Chưa chạy</t>
  </si>
  <si>
    <t>Issue ID</t>
  </si>
  <si>
    <t>Related TC</t>
  </si>
  <si>
    <t>Defect title</t>
  </si>
  <si>
    <t>Severity</t>
  </si>
  <si>
    <t>Description / Evidence</t>
  </si>
  <si>
    <t>Expected behavior</t>
  </si>
  <si>
    <t>Actual behavior</t>
  </si>
  <si>
    <t>GitHub Issue URL</t>
  </si>
  <si>
    <t>DEF-01</t>
  </si>
  <si>
    <t>To log</t>
  </si>
  <si>
    <t>DEF-02</t>
  </si>
  <si>
    <t>DEF-03</t>
  </si>
  <si>
    <t>DEF-04</t>
  </si>
  <si>
    <t>DEF-05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</si>
</sst>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b/>
      <sz val="14.0"/>
      <color rgb="FFFFFFFF"/>
      <name val="Carlito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2" fontId="4" numFmtId="0" xfId="0" applyAlignment="1" applyFont="1">
      <alignment horizontal="center"/>
    </xf>
    <xf borderId="0" fillId="0" fontId="2" numFmtId="0" xfId="0" applyFont="1"/>
    <xf borderId="0" fillId="0" fontId="5" numFmtId="0" xfId="0" applyFont="1"/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9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  <tableStyles count="3">
    <tableStyle count="3" pivot="0" name="Test Cases-style">
      <tableStyleElement dxfId="1" type="headerRow"/>
      <tableStyleElement dxfId="2" type="firstRowStripe"/>
      <tableStyleElement dxfId="3" type="secondRowStripe"/>
    </tableStyle>
    <tableStyle count="3" pivot="0" name="Checklist-style">
      <tableStyleElement dxfId="1" type="headerRow"/>
      <tableStyleElement dxfId="2" type="firstRowStripe"/>
      <tableStyleElement dxfId="3" type="secondRowStripe"/>
    </tableStyle>
    <tableStyle count="3" pivot="0" name="Defect Lo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6" displayName="Table_1" name="Table_1" id="1">
  <tableColumns count="11">
    <tableColumn name="Test Case ID" id="1"/>
    <tableColumn name="Tên test case" id="2"/>
    <tableColumn name="Mục tiêu" id="3"/>
    <tableColumn name="Dữ liệu đầu vào" id="4"/>
    <tableColumn name="Các bước thực hiện" id="5"/>
    <tableColumn name="Kết quả mong đợi" id="6"/>
    <tableColumn name="Kết quả thực tế" id="7"/>
    <tableColumn name="Kết luận" id="8"/>
    <tableColumn name="Video" id="9"/>
    <tableColumn name="Edge case?" id="10"/>
    <tableColumn name="Ghi chú edge case" id="11"/>
  </tableColumns>
  <tableStyleInfo name="Test Cases-style" showColumnStripes="0" showFirstColumn="1" showLastColumn="1" showRowStripes="1"/>
</table>
</file>

<file path=xl/tables/table2.xml><?xml version="1.0" encoding="utf-8"?>
<table xmlns="http://schemas.openxmlformats.org/spreadsheetml/2006/main" ref="A1:E15" displayName="Table_2" name="Table_2" id="2">
  <tableColumns count="5">
    <tableColumn name="No." id="1"/>
    <tableColumn name="Submission item" id="2"/>
    <tableColumn name="Required by assignment" id="3"/>
    <tableColumn name="Status" id="4"/>
    <tableColumn name="Evidence / Link / Note" id="5"/>
  </tableColumns>
  <tableStyleInfo name="Checklist-style" showColumnStripes="0" showFirstColumn="1" showLastColumn="1" showRowStripes="1"/>
</table>
</file>

<file path=xl/tables/table3.xml><?xml version="1.0" encoding="utf-8"?>
<table xmlns="http://schemas.openxmlformats.org/spreadsheetml/2006/main" ref="A1:I6" displayName="Table_3" name="Table_3" id="3">
  <tableColumns count="9">
    <tableColumn name="Issue ID" id="1"/>
    <tableColumn name="Related TC" id="2"/>
    <tableColumn name="Defect title" id="3"/>
    <tableColumn name="Severity" id="4"/>
    <tableColumn name="Description / Evidence" id="5"/>
    <tableColumn name="Expected behavior" id="6"/>
    <tableColumn name="Actual behavior" id="7"/>
    <tableColumn name="Status" id="8"/>
    <tableColumn name="GitHub Issue URL" id="9"/>
  </tableColumns>
  <tableStyleInfo name="Defect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2.0"/>
    <col customWidth="1" min="3" max="3" width="34.0"/>
    <col customWidth="1" min="4" max="4" width="32.0"/>
    <col customWidth="1" min="5" max="6" width="45.0"/>
    <col customWidth="1" min="7" max="7" width="48.0"/>
    <col customWidth="1" min="8" max="8" width="12.0"/>
    <col customWidth="1" min="9" max="9" width="34.0"/>
    <col customWidth="1" min="10" max="10" width="12.0"/>
    <col customWidth="1" min="11" max="11" width="45.0"/>
    <col customWidth="1" min="12" max="26" width="8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60.0" customHeight="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/>
    </row>
    <row r="3" ht="60.0" customHeight="1">
      <c r="A3" s="2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18</v>
      </c>
      <c r="I3" s="3" t="s">
        <v>28</v>
      </c>
      <c r="J3" s="3" t="s">
        <v>20</v>
      </c>
      <c r="K3" s="3"/>
    </row>
    <row r="4" ht="60.0" customHeight="1">
      <c r="A4" s="2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18</v>
      </c>
      <c r="I4" s="3" t="s">
        <v>36</v>
      </c>
      <c r="J4" s="3" t="s">
        <v>20</v>
      </c>
      <c r="K4" s="3"/>
    </row>
    <row r="5" ht="60.0" customHeight="1">
      <c r="A5" s="2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18</v>
      </c>
      <c r="I5" s="3" t="s">
        <v>28</v>
      </c>
      <c r="J5" s="3" t="s">
        <v>20</v>
      </c>
      <c r="K5" s="3"/>
    </row>
    <row r="6" ht="60.0" customHeight="1">
      <c r="A6" s="2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18</v>
      </c>
      <c r="I6" s="3" t="s">
        <v>51</v>
      </c>
      <c r="J6" s="3" t="s">
        <v>20</v>
      </c>
      <c r="K6" s="3"/>
    </row>
    <row r="7" ht="60.0" customHeight="1">
      <c r="A7" s="2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18</v>
      </c>
      <c r="I7" s="3" t="s">
        <v>59</v>
      </c>
      <c r="J7" s="3" t="s">
        <v>20</v>
      </c>
      <c r="K7" s="3"/>
    </row>
    <row r="8" ht="60.0" customHeight="1">
      <c r="A8" s="2" t="s">
        <v>60</v>
      </c>
      <c r="B8" s="3" t="s">
        <v>61</v>
      </c>
      <c r="C8" s="3" t="s">
        <v>62</v>
      </c>
      <c r="D8" s="3" t="s">
        <v>63</v>
      </c>
      <c r="E8" s="3" t="s">
        <v>64</v>
      </c>
      <c r="F8" s="3" t="s">
        <v>65</v>
      </c>
      <c r="G8" s="3" t="s">
        <v>66</v>
      </c>
      <c r="H8" s="3" t="s">
        <v>18</v>
      </c>
      <c r="I8" s="3" t="s">
        <v>67</v>
      </c>
      <c r="J8" s="3" t="s">
        <v>20</v>
      </c>
      <c r="K8" s="3"/>
    </row>
    <row r="9" ht="60.0" customHeight="1">
      <c r="A9" s="2" t="s">
        <v>68</v>
      </c>
      <c r="B9" s="3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74</v>
      </c>
      <c r="H9" s="3" t="s">
        <v>18</v>
      </c>
      <c r="I9" s="3" t="s">
        <v>36</v>
      </c>
      <c r="J9" s="3" t="s">
        <v>20</v>
      </c>
      <c r="K9" s="3"/>
    </row>
    <row r="10" ht="60.0" customHeight="1">
      <c r="A10" s="2" t="s">
        <v>75</v>
      </c>
      <c r="B10" s="3" t="s">
        <v>76</v>
      </c>
      <c r="C10" s="3" t="s">
        <v>77</v>
      </c>
      <c r="D10" s="3" t="s">
        <v>78</v>
      </c>
      <c r="E10" s="3" t="s">
        <v>79</v>
      </c>
      <c r="F10" s="3" t="s">
        <v>80</v>
      </c>
      <c r="G10" s="3" t="s">
        <v>81</v>
      </c>
      <c r="H10" s="3" t="s">
        <v>18</v>
      </c>
      <c r="I10" s="3" t="s">
        <v>82</v>
      </c>
      <c r="J10" s="3" t="s">
        <v>20</v>
      </c>
      <c r="K10" s="3"/>
    </row>
    <row r="11" ht="60.0" customHeight="1">
      <c r="A11" s="2" t="s">
        <v>83</v>
      </c>
      <c r="B11" s="3" t="s">
        <v>84</v>
      </c>
      <c r="C11" s="3" t="s">
        <v>85</v>
      </c>
      <c r="D11" s="3" t="s">
        <v>86</v>
      </c>
      <c r="E11" s="3" t="s">
        <v>87</v>
      </c>
      <c r="F11" s="3" t="s">
        <v>88</v>
      </c>
      <c r="G11" s="3" t="s">
        <v>89</v>
      </c>
      <c r="H11" s="3" t="s">
        <v>18</v>
      </c>
      <c r="I11" s="3" t="s">
        <v>51</v>
      </c>
      <c r="J11" s="3" t="s">
        <v>20</v>
      </c>
      <c r="K11" s="3"/>
    </row>
    <row r="12" ht="60.0" customHeight="1">
      <c r="A12" s="2" t="s">
        <v>90</v>
      </c>
      <c r="B12" s="3" t="s">
        <v>91</v>
      </c>
      <c r="C12" s="3" t="s">
        <v>92</v>
      </c>
      <c r="D12" s="3" t="s">
        <v>93</v>
      </c>
      <c r="E12" s="3" t="s">
        <v>94</v>
      </c>
      <c r="F12" s="3" t="s">
        <v>95</v>
      </c>
      <c r="G12" s="3" t="s">
        <v>96</v>
      </c>
      <c r="H12" s="3" t="s">
        <v>18</v>
      </c>
      <c r="I12" s="3" t="s">
        <v>36</v>
      </c>
      <c r="J12" s="3" t="s">
        <v>20</v>
      </c>
      <c r="K12" s="3"/>
    </row>
    <row r="13" ht="60.0" customHeight="1">
      <c r="A13" s="2" t="s">
        <v>97</v>
      </c>
      <c r="B13" s="3" t="s">
        <v>98</v>
      </c>
      <c r="C13" s="3" t="s">
        <v>99</v>
      </c>
      <c r="D13" s="3" t="s">
        <v>100</v>
      </c>
      <c r="E13" s="3" t="s">
        <v>101</v>
      </c>
      <c r="F13" s="3" t="s">
        <v>102</v>
      </c>
      <c r="G13" s="3" t="s">
        <v>103</v>
      </c>
      <c r="H13" s="3" t="s">
        <v>18</v>
      </c>
      <c r="I13" s="3" t="s">
        <v>28</v>
      </c>
      <c r="J13" s="3" t="s">
        <v>20</v>
      </c>
      <c r="K13" s="3"/>
    </row>
    <row r="14" ht="60.0" customHeight="1">
      <c r="A14" s="2" t="s">
        <v>104</v>
      </c>
      <c r="B14" s="3" t="s">
        <v>105</v>
      </c>
      <c r="C14" s="3" t="s">
        <v>106</v>
      </c>
      <c r="D14" s="3" t="s">
        <v>107</v>
      </c>
      <c r="E14" s="3" t="s">
        <v>108</v>
      </c>
      <c r="F14" s="3" t="s">
        <v>109</v>
      </c>
      <c r="G14" s="3" t="s">
        <v>110</v>
      </c>
      <c r="H14" s="3" t="s">
        <v>18</v>
      </c>
      <c r="I14" s="3" t="s">
        <v>51</v>
      </c>
      <c r="J14" s="3" t="s">
        <v>111</v>
      </c>
      <c r="K14" s="3" t="s">
        <v>112</v>
      </c>
    </row>
    <row r="15" ht="60.0" customHeight="1">
      <c r="A15" s="2" t="s">
        <v>113</v>
      </c>
      <c r="B15" s="3" t="s">
        <v>114</v>
      </c>
      <c r="C15" s="3" t="s">
        <v>115</v>
      </c>
      <c r="D15" s="3" t="s">
        <v>24</v>
      </c>
      <c r="E15" s="3" t="s">
        <v>116</v>
      </c>
      <c r="F15" s="3" t="s">
        <v>117</v>
      </c>
      <c r="G15" s="3" t="s">
        <v>118</v>
      </c>
      <c r="H15" s="3" t="s">
        <v>18</v>
      </c>
      <c r="I15" s="3" t="s">
        <v>119</v>
      </c>
      <c r="J15" s="3" t="s">
        <v>111</v>
      </c>
      <c r="K15" s="3" t="s">
        <v>120</v>
      </c>
    </row>
    <row r="16" ht="60.0" customHeight="1">
      <c r="A16" s="2" t="s">
        <v>121</v>
      </c>
      <c r="B16" s="3" t="s">
        <v>122</v>
      </c>
      <c r="C16" s="3" t="s">
        <v>123</v>
      </c>
      <c r="D16" s="3" t="s">
        <v>124</v>
      </c>
      <c r="E16" s="3" t="s">
        <v>125</v>
      </c>
      <c r="F16" s="3" t="s">
        <v>126</v>
      </c>
      <c r="G16" s="3" t="s">
        <v>127</v>
      </c>
      <c r="H16" s="3" t="s">
        <v>18</v>
      </c>
      <c r="I16" s="3" t="s">
        <v>51</v>
      </c>
      <c r="J16" s="3" t="s">
        <v>111</v>
      </c>
      <c r="K16" s="3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16">
    <cfRule type="expression" dxfId="4" priority="1">
      <formula>H2="Đạt"</formula>
    </cfRule>
  </conditionalFormatting>
  <conditionalFormatting sqref="H2:H16">
    <cfRule type="expression" dxfId="5" priority="2">
      <formula>H2="Không đạt"</formula>
    </cfRule>
  </conditionalFormatting>
  <conditionalFormatting sqref="J2:J16">
    <cfRule type="expression" dxfId="6" priority="3">
      <formula>J2="Yes"</formula>
    </cfRule>
  </conditionalFormatting>
  <dataValidations>
    <dataValidation type="list" allowBlank="1" sqref="H2:H16">
      <formula1>"Đạt,Không đạt,Chưa chạy"</formula1>
    </dataValidation>
    <dataValidation type="list" allowBlank="1" sqref="J2:J16">
      <formula1>"Yes,No"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2.0"/>
    <col customWidth="1" min="3" max="3" width="55.0"/>
    <col customWidth="1" min="4" max="4" width="16.0"/>
    <col customWidth="1" min="5" max="5" width="55.0"/>
    <col customWidth="1" min="6" max="26" width="8.63"/>
  </cols>
  <sheetData>
    <row r="1" ht="31.5" customHeight="1">
      <c r="A1" s="4" t="s">
        <v>129</v>
      </c>
      <c r="B1" s="4" t="s">
        <v>130</v>
      </c>
      <c r="C1" s="4" t="s">
        <v>131</v>
      </c>
      <c r="D1" s="4" t="s">
        <v>132</v>
      </c>
      <c r="E1" s="4" t="s">
        <v>133</v>
      </c>
    </row>
    <row r="2" ht="36.0" customHeight="1">
      <c r="A2" s="5">
        <v>1.0</v>
      </c>
      <c r="B2" s="5" t="s">
        <v>134</v>
      </c>
      <c r="C2" s="5" t="s">
        <v>135</v>
      </c>
      <c r="D2" s="6" t="s">
        <v>136</v>
      </c>
      <c r="E2" s="5"/>
    </row>
    <row r="3" ht="36.0" customHeight="1">
      <c r="A3" s="5">
        <v>2.0</v>
      </c>
      <c r="B3" s="5" t="s">
        <v>137</v>
      </c>
      <c r="C3" s="5" t="s">
        <v>138</v>
      </c>
      <c r="D3" s="6" t="s">
        <v>136</v>
      </c>
      <c r="E3" s="5"/>
    </row>
    <row r="4" ht="36.0" customHeight="1">
      <c r="A4" s="5">
        <v>3.0</v>
      </c>
      <c r="B4" s="5" t="s">
        <v>139</v>
      </c>
      <c r="C4" s="5" t="s">
        <v>140</v>
      </c>
      <c r="D4" s="5" t="s">
        <v>136</v>
      </c>
      <c r="E4" s="5" t="s">
        <v>141</v>
      </c>
    </row>
    <row r="5" ht="36.0" customHeight="1">
      <c r="A5" s="5">
        <v>4.0</v>
      </c>
      <c r="B5" s="5" t="s">
        <v>142</v>
      </c>
      <c r="C5" s="5" t="s">
        <v>143</v>
      </c>
      <c r="D5" s="6" t="s">
        <v>136</v>
      </c>
      <c r="E5" s="5"/>
    </row>
    <row r="6" ht="36.0" customHeight="1">
      <c r="A6" s="5">
        <v>5.0</v>
      </c>
      <c r="B6" s="5" t="s">
        <v>144</v>
      </c>
      <c r="C6" s="5" t="s">
        <v>145</v>
      </c>
      <c r="D6" s="6" t="s">
        <v>136</v>
      </c>
      <c r="E6" s="5" t="s">
        <v>146</v>
      </c>
    </row>
    <row r="7" ht="36.0" customHeight="1">
      <c r="A7" s="5">
        <v>6.0</v>
      </c>
      <c r="B7" s="5" t="s">
        <v>147</v>
      </c>
      <c r="C7" s="5" t="s">
        <v>148</v>
      </c>
      <c r="D7" s="5" t="s">
        <v>136</v>
      </c>
      <c r="E7" s="5" t="s">
        <v>149</v>
      </c>
    </row>
    <row r="8" ht="36.0" customHeight="1">
      <c r="A8" s="5">
        <v>7.0</v>
      </c>
      <c r="B8" s="5" t="s">
        <v>150</v>
      </c>
      <c r="C8" s="5" t="s">
        <v>151</v>
      </c>
      <c r="D8" s="6" t="s">
        <v>136</v>
      </c>
      <c r="E8" s="5" t="s">
        <v>152</v>
      </c>
    </row>
    <row r="9" ht="36.0" customHeight="1">
      <c r="A9" s="5">
        <v>8.0</v>
      </c>
      <c r="B9" s="5" t="s">
        <v>153</v>
      </c>
      <c r="C9" s="5" t="s">
        <v>154</v>
      </c>
      <c r="D9" s="5" t="s">
        <v>136</v>
      </c>
      <c r="E9" s="5" t="s">
        <v>155</v>
      </c>
    </row>
    <row r="10" ht="36.0" customHeight="1">
      <c r="A10" s="5">
        <v>9.0</v>
      </c>
      <c r="B10" s="5" t="s">
        <v>156</v>
      </c>
      <c r="C10" s="5" t="s">
        <v>157</v>
      </c>
      <c r="D10" s="6" t="s">
        <v>136</v>
      </c>
      <c r="E10" s="5" t="s">
        <v>158</v>
      </c>
    </row>
    <row r="11" ht="36.0" customHeight="1">
      <c r="A11" s="5">
        <v>10.0</v>
      </c>
      <c r="B11" s="5" t="s">
        <v>159</v>
      </c>
      <c r="C11" s="5" t="s">
        <v>160</v>
      </c>
      <c r="D11" s="6" t="s">
        <v>136</v>
      </c>
      <c r="E11" s="5"/>
    </row>
    <row r="12" ht="36.0" customHeight="1">
      <c r="A12" s="5">
        <v>11.0</v>
      </c>
      <c r="B12" s="5" t="s">
        <v>161</v>
      </c>
      <c r="C12" s="5" t="s">
        <v>162</v>
      </c>
      <c r="D12" s="6" t="s">
        <v>136</v>
      </c>
      <c r="E12" s="5"/>
    </row>
    <row r="13" ht="36.0" customHeight="1">
      <c r="A13" s="5">
        <v>12.0</v>
      </c>
      <c r="B13" s="5" t="s">
        <v>163</v>
      </c>
      <c r="C13" s="5" t="s">
        <v>164</v>
      </c>
      <c r="D13" s="6" t="s">
        <v>136</v>
      </c>
      <c r="E13" s="5"/>
    </row>
    <row r="14" ht="36.0" customHeight="1">
      <c r="A14" s="5">
        <v>13.0</v>
      </c>
      <c r="B14" s="5" t="s">
        <v>165</v>
      </c>
      <c r="C14" s="5" t="s">
        <v>164</v>
      </c>
      <c r="D14" s="6" t="s">
        <v>136</v>
      </c>
      <c r="E14" s="5"/>
    </row>
    <row r="15" ht="36.0" customHeight="1">
      <c r="A15" s="5">
        <v>14.0</v>
      </c>
      <c r="B15" s="5" t="s">
        <v>166</v>
      </c>
      <c r="C15" s="5" t="s">
        <v>167</v>
      </c>
      <c r="D15" s="6" t="s">
        <v>136</v>
      </c>
      <c r="E15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5">
    <cfRule type="expression" dxfId="4" priority="1">
      <formula>D2="Done"</formula>
    </cfRule>
  </conditionalFormatting>
  <conditionalFormatting sqref="D2:D15">
    <cfRule type="expression" dxfId="6" priority="2">
      <formula>D2="In progress"</formula>
    </cfRule>
  </conditionalFormatting>
  <conditionalFormatting sqref="D2:D15">
    <cfRule type="expression" dxfId="7" priority="3">
      <formula>D2="To do"</formula>
    </cfRule>
  </conditionalFormatting>
  <dataValidations>
    <dataValidation type="list" allowBlank="1" sqref="D2:D15">
      <formula1>"Done,In progress,To do,Blocked"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42.0"/>
    <col customWidth="1" min="3" max="3" width="14.0"/>
    <col customWidth="1" min="4" max="4" width="4.0"/>
    <col customWidth="1" min="5" max="5" width="30.0"/>
    <col customWidth="1" min="6" max="6" width="28.0"/>
    <col customWidth="1" min="7" max="26" width="8.63"/>
  </cols>
  <sheetData>
    <row r="1" ht="31.5" customHeight="1">
      <c r="A1" s="7" t="s">
        <v>168</v>
      </c>
    </row>
    <row r="2" ht="36.0" customHeight="1"/>
    <row r="3" ht="36.0" customHeight="1">
      <c r="A3" s="8" t="s">
        <v>169</v>
      </c>
      <c r="B3" s="9" t="s">
        <v>170</v>
      </c>
    </row>
    <row r="4" ht="36.0" customHeight="1">
      <c r="A4" s="8" t="s">
        <v>171</v>
      </c>
      <c r="B4" s="9" t="s">
        <v>172</v>
      </c>
    </row>
    <row r="5" ht="36.0" customHeight="1">
      <c r="A5" s="8" t="s">
        <v>173</v>
      </c>
      <c r="B5" s="9" t="s">
        <v>174</v>
      </c>
    </row>
    <row r="6" ht="36.0" customHeight="1"/>
    <row r="7" ht="36.0" customHeight="1">
      <c r="A7" s="10" t="s">
        <v>175</v>
      </c>
      <c r="B7" s="10" t="s">
        <v>176</v>
      </c>
      <c r="C7" s="10" t="s">
        <v>177</v>
      </c>
      <c r="D7" s="10"/>
      <c r="E7" s="10" t="s">
        <v>178</v>
      </c>
      <c r="F7" s="10" t="s">
        <v>179</v>
      </c>
    </row>
    <row r="8" ht="36.0" customHeight="1">
      <c r="A8" s="11" t="s">
        <v>180</v>
      </c>
      <c r="B8" s="11" t="s">
        <v>181</v>
      </c>
      <c r="C8" s="11">
        <f>COUNTA('Test Cases'!A2:A16)</f>
        <v>15</v>
      </c>
      <c r="D8" s="11"/>
      <c r="E8" s="11" t="s">
        <v>182</v>
      </c>
      <c r="F8" s="11" t="str">
        <f>IF(C8=15,"OK","Check")</f>
        <v>OK</v>
      </c>
    </row>
    <row r="9" ht="36.0" customHeight="1">
      <c r="A9" s="11" t="s">
        <v>183</v>
      </c>
      <c r="B9" s="11" t="s">
        <v>184</v>
      </c>
      <c r="C9" s="11">
        <f>COUNTIF('Test Cases'!H2:H16,"Đạt")</f>
        <v>15</v>
      </c>
      <c r="D9" s="11"/>
      <c r="E9" s="11" t="s">
        <v>185</v>
      </c>
      <c r="F9" s="11" t="str">
        <f>IF(C9&gt;=1,"OK","Check")</f>
        <v>OK</v>
      </c>
    </row>
    <row r="10" ht="36.0" customHeight="1">
      <c r="A10" s="11" t="s">
        <v>186</v>
      </c>
      <c r="B10" s="11" t="s">
        <v>187</v>
      </c>
      <c r="C10" s="11">
        <f>COUNTIF('Test Cases'!H2:H16,"Không đạt")</f>
        <v>0</v>
      </c>
      <c r="D10" s="11"/>
      <c r="E10" s="11" t="s">
        <v>188</v>
      </c>
      <c r="F10" s="11" t="str">
        <f>IF(C10&gt;=5,"OK - enough defects","Current defects &lt; 5")</f>
        <v>Current defects &lt; 5</v>
      </c>
    </row>
    <row r="11" ht="36.0" customHeight="1">
      <c r="A11" s="11" t="s">
        <v>189</v>
      </c>
      <c r="B11" s="11" t="s">
        <v>190</v>
      </c>
      <c r="C11" s="11">
        <f>COUNTIF('Test Cases'!H2:H16,"Chưa chạy")+COUNTBLANK('Test Cases'!H2:H16)</f>
        <v>0</v>
      </c>
      <c r="D11" s="11"/>
      <c r="E11" s="11" t="s">
        <v>191</v>
      </c>
      <c r="F11" s="11" t="str">
        <f>IF(C11=0,"OK","Has pending")</f>
        <v>OK</v>
      </c>
    </row>
    <row r="12" ht="36.0" customHeight="1">
      <c r="A12" s="11" t="s">
        <v>192</v>
      </c>
      <c r="B12" s="11" t="s">
        <v>193</v>
      </c>
      <c r="C12" s="11">
        <f>COUNTIF('Test Cases'!J2:J16,"Yes")</f>
        <v>3</v>
      </c>
      <c r="D12" s="11"/>
      <c r="E12" s="11" t="s">
        <v>194</v>
      </c>
      <c r="F12" s="11" t="str">
        <f>IF(C12&gt;=3,"OK","Need more edge cases")</f>
        <v>OK</v>
      </c>
    </row>
    <row r="13" ht="36.0" customHeight="1">
      <c r="A13" s="11" t="s">
        <v>195</v>
      </c>
      <c r="B13" s="11" t="s">
        <v>196</v>
      </c>
      <c r="C13" s="11">
        <f>COUNTIF('Test Cases'!I2:I16,"https://*")</f>
        <v>5</v>
      </c>
      <c r="D13" s="11"/>
      <c r="E13" s="11" t="s">
        <v>150</v>
      </c>
      <c r="F13" s="11" t="str">
        <f>IF(C13&gt;=5,"OK","Need ≥ 5 video links")</f>
        <v>OK</v>
      </c>
    </row>
    <row r="14" ht="36.0" customHeight="1"/>
    <row r="15" ht="36.0" customHeight="1"/>
    <row r="16" ht="36.0" customHeight="1">
      <c r="A16" s="10" t="s">
        <v>197</v>
      </c>
      <c r="B16" s="10" t="s">
        <v>198</v>
      </c>
      <c r="C16" s="10" t="s">
        <v>199</v>
      </c>
      <c r="E16" s="10" t="s">
        <v>200</v>
      </c>
      <c r="F16" s="10" t="s">
        <v>201</v>
      </c>
    </row>
    <row r="17" ht="36.0" customHeight="1">
      <c r="A17" s="9" t="s">
        <v>18</v>
      </c>
      <c r="B17" s="9">
        <f>COUNTIF('Test Cases'!$H$2:$H$16,A17)</f>
        <v>15</v>
      </c>
      <c r="C17" s="12">
        <f t="shared" ref="C17:C19" si="1">IF($C$8=0,0,B17/$C$8)</f>
        <v>1</v>
      </c>
      <c r="E17" s="11" t="s">
        <v>104</v>
      </c>
      <c r="F17" s="11" t="s">
        <v>112</v>
      </c>
    </row>
    <row r="18" ht="36.0" customHeight="1">
      <c r="A18" s="9" t="s">
        <v>202</v>
      </c>
      <c r="B18" s="9">
        <f>COUNTIF('Test Cases'!$H$2:$H$16,A18)</f>
        <v>0</v>
      </c>
      <c r="C18" s="12">
        <f t="shared" si="1"/>
        <v>0</v>
      </c>
      <c r="E18" s="11" t="s">
        <v>113</v>
      </c>
      <c r="F18" s="11" t="s">
        <v>120</v>
      </c>
    </row>
    <row r="19" ht="36.0" customHeight="1">
      <c r="A19" s="9" t="s">
        <v>203</v>
      </c>
      <c r="B19" s="9">
        <f>COUNTIF('Test Cases'!$H$2:$H$16,A19)+COUNTBLANK('Test Cases'!$H$2:$H$16)</f>
        <v>0</v>
      </c>
      <c r="C19" s="12">
        <f t="shared" si="1"/>
        <v>0</v>
      </c>
      <c r="E19" s="11" t="s">
        <v>121</v>
      </c>
      <c r="F19" s="11" t="s">
        <v>128</v>
      </c>
    </row>
    <row r="20" ht="36.0" customHeight="1"/>
    <row r="21" ht="36.0" customHeight="1"/>
    <row r="22" ht="36.0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F8:F13">
    <cfRule type="expression" dxfId="4" priority="1">
      <formula>LEFT(F8,2)="OK"</formula>
    </cfRule>
  </conditionalFormatting>
  <conditionalFormatting sqref="F8:F13">
    <cfRule type="expression" dxfId="7" priority="2">
      <formula>LEFT(F8,5)="Check"</formula>
    </cfRule>
  </conditionalFormatting>
  <conditionalFormatting sqref="F8:F13">
    <cfRule type="expression" dxfId="5" priority="3">
      <formula>LEFT(F8,4)="Need"</formula>
    </cfRule>
  </conditionalFormatting>
  <conditionalFormatting sqref="F8:F13">
    <cfRule type="expression" dxfId="5" priority="4">
      <formula>LEFT(F8,7)="Current"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34.0"/>
    <col customWidth="1" min="4" max="4" width="14.0"/>
    <col customWidth="1" min="5" max="5" width="45.0"/>
    <col customWidth="1" min="6" max="7" width="35.0"/>
    <col customWidth="1" min="8" max="8" width="16.0"/>
    <col customWidth="1" min="9" max="9" width="38.0"/>
    <col customWidth="1" min="10" max="26" width="8.63"/>
  </cols>
  <sheetData>
    <row r="1" ht="31.5" customHeight="1">
      <c r="A1" s="4" t="s">
        <v>204</v>
      </c>
      <c r="B1" s="4" t="s">
        <v>205</v>
      </c>
      <c r="C1" s="4" t="s">
        <v>206</v>
      </c>
      <c r="D1" s="4" t="s">
        <v>207</v>
      </c>
      <c r="E1" s="4" t="s">
        <v>208</v>
      </c>
      <c r="F1" s="4" t="s">
        <v>209</v>
      </c>
      <c r="G1" s="4" t="s">
        <v>210</v>
      </c>
      <c r="H1" s="4" t="s">
        <v>132</v>
      </c>
      <c r="I1" s="4" t="s">
        <v>211</v>
      </c>
    </row>
    <row r="2" ht="36.0" customHeight="1">
      <c r="A2" s="5" t="s">
        <v>212</v>
      </c>
      <c r="B2" s="5"/>
      <c r="C2" s="5"/>
      <c r="D2" s="5"/>
      <c r="E2" s="5"/>
      <c r="F2" s="5"/>
      <c r="G2" s="5"/>
      <c r="H2" s="5" t="s">
        <v>213</v>
      </c>
      <c r="I2" s="5"/>
    </row>
    <row r="3" ht="36.0" customHeight="1">
      <c r="A3" s="5" t="s">
        <v>214</v>
      </c>
      <c r="B3" s="5"/>
      <c r="C3" s="5"/>
      <c r="D3" s="5"/>
      <c r="E3" s="5"/>
      <c r="F3" s="5"/>
      <c r="G3" s="5"/>
      <c r="H3" s="5" t="s">
        <v>213</v>
      </c>
      <c r="I3" s="5"/>
    </row>
    <row r="4" ht="36.0" customHeight="1">
      <c r="A4" s="5" t="s">
        <v>215</v>
      </c>
      <c r="B4" s="5"/>
      <c r="C4" s="5"/>
      <c r="D4" s="5"/>
      <c r="E4" s="5"/>
      <c r="F4" s="5"/>
      <c r="G4" s="5"/>
      <c r="H4" s="5" t="s">
        <v>213</v>
      </c>
      <c r="I4" s="5"/>
    </row>
    <row r="5" ht="36.0" customHeight="1">
      <c r="A5" s="5" t="s">
        <v>216</v>
      </c>
      <c r="B5" s="5"/>
      <c r="C5" s="5"/>
      <c r="D5" s="5"/>
      <c r="E5" s="5"/>
      <c r="F5" s="5"/>
      <c r="G5" s="5"/>
      <c r="H5" s="5" t="s">
        <v>213</v>
      </c>
      <c r="I5" s="5"/>
    </row>
    <row r="6" ht="36.0" customHeight="1">
      <c r="A6" s="5" t="s">
        <v>217</v>
      </c>
      <c r="B6" s="5"/>
      <c r="C6" s="5"/>
      <c r="D6" s="5"/>
      <c r="E6" s="5"/>
      <c r="F6" s="5"/>
      <c r="G6" s="5"/>
      <c r="H6" s="5" t="s">
        <v>213</v>
      </c>
      <c r="I6" s="5"/>
    </row>
    <row r="7">
      <c r="D7" s="9"/>
      <c r="H7" s="9"/>
    </row>
    <row r="8">
      <c r="D8" s="9"/>
      <c r="H8" s="9"/>
    </row>
    <row r="9">
      <c r="D9" s="9"/>
      <c r="H9" s="9"/>
    </row>
    <row r="10">
      <c r="D10" s="9"/>
      <c r="H10" s="9"/>
    </row>
    <row r="11">
      <c r="D11" s="9"/>
      <c r="H11" s="9"/>
    </row>
    <row r="12">
      <c r="D12" s="9"/>
      <c r="H12" s="9"/>
    </row>
    <row r="13">
      <c r="D13" s="9"/>
      <c r="H13" s="9"/>
    </row>
    <row r="14">
      <c r="D14" s="9"/>
      <c r="H14" s="9"/>
    </row>
    <row r="15">
      <c r="D15" s="9"/>
      <c r="H15" s="9"/>
    </row>
    <row r="16">
      <c r="D16" s="9"/>
      <c r="H16" s="9"/>
    </row>
    <row r="17">
      <c r="D17" s="9"/>
      <c r="H17" s="9"/>
    </row>
    <row r="18">
      <c r="D18" s="9"/>
      <c r="H18" s="9"/>
    </row>
    <row r="19">
      <c r="D19" s="9"/>
      <c r="H19" s="9"/>
    </row>
    <row r="20">
      <c r="D20" s="9"/>
      <c r="H20" s="9"/>
    </row>
    <row r="21" ht="15.75" customHeight="1">
      <c r="D21" s="9"/>
      <c r="H21" s="9"/>
    </row>
    <row r="22" ht="15.75" customHeight="1">
      <c r="D22" s="9"/>
      <c r="H22" s="9"/>
    </row>
    <row r="23" ht="15.75" customHeight="1">
      <c r="D23" s="9"/>
      <c r="H23" s="9"/>
    </row>
    <row r="24" ht="15.75" customHeight="1">
      <c r="D24" s="9"/>
      <c r="H24" s="9"/>
    </row>
    <row r="25" ht="15.75" customHeight="1">
      <c r="D25" s="9"/>
      <c r="H25" s="9"/>
    </row>
    <row r="26" ht="15.75" customHeight="1">
      <c r="D26" s="9"/>
      <c r="H26" s="9"/>
    </row>
    <row r="27" ht="15.75" customHeight="1">
      <c r="D27" s="9"/>
      <c r="H27" s="9"/>
    </row>
    <row r="28" ht="15.75" customHeight="1">
      <c r="D28" s="9"/>
      <c r="H28" s="9"/>
    </row>
    <row r="29" ht="15.75" customHeight="1">
      <c r="D29" s="9"/>
      <c r="H29" s="9"/>
    </row>
    <row r="30" ht="15.75" customHeight="1">
      <c r="D30" s="9"/>
      <c r="H30" s="9"/>
    </row>
    <row r="31" ht="15.75" customHeight="1">
      <c r="D31" s="9"/>
      <c r="H31" s="9"/>
    </row>
    <row r="32" ht="15.75" customHeight="1">
      <c r="D32" s="9"/>
      <c r="H32" s="9"/>
    </row>
    <row r="33" ht="15.75" customHeight="1">
      <c r="D33" s="9"/>
      <c r="H33" s="9"/>
    </row>
    <row r="34" ht="15.75" customHeight="1">
      <c r="D34" s="9"/>
      <c r="H34" s="9"/>
    </row>
    <row r="35" ht="15.75" customHeight="1">
      <c r="D35" s="9"/>
      <c r="H35" s="9"/>
    </row>
    <row r="36" ht="15.75" customHeight="1">
      <c r="D36" s="9"/>
      <c r="H36" s="9"/>
    </row>
    <row r="37" ht="15.75" customHeight="1">
      <c r="D37" s="9"/>
      <c r="H37" s="9"/>
    </row>
    <row r="38" ht="15.75" customHeight="1">
      <c r="D38" s="9"/>
      <c r="H38" s="9"/>
    </row>
    <row r="39" ht="15.75" customHeight="1">
      <c r="D39" s="9"/>
      <c r="H39" s="9"/>
    </row>
    <row r="40" ht="15.75" customHeight="1">
      <c r="D40" s="9"/>
      <c r="H40" s="9"/>
    </row>
    <row r="41" ht="15.75" customHeight="1">
      <c r="D41" s="9"/>
      <c r="H41" s="9"/>
    </row>
    <row r="42" ht="15.75" customHeight="1">
      <c r="D42" s="9"/>
      <c r="H42" s="9"/>
    </row>
    <row r="43" ht="15.75" customHeight="1">
      <c r="D43" s="9"/>
      <c r="H43" s="9"/>
    </row>
    <row r="44" ht="15.75" customHeight="1">
      <c r="D44" s="9"/>
      <c r="H44" s="9"/>
    </row>
    <row r="45" ht="15.75" customHeight="1">
      <c r="D45" s="9"/>
      <c r="H45" s="9"/>
    </row>
    <row r="46" ht="15.75" customHeight="1">
      <c r="D46" s="9"/>
      <c r="H46" s="9"/>
    </row>
    <row r="47" ht="15.75" customHeight="1">
      <c r="D47" s="9"/>
      <c r="H47" s="9"/>
    </row>
    <row r="48" ht="15.75" customHeight="1">
      <c r="D48" s="9"/>
      <c r="H48" s="9"/>
    </row>
    <row r="49" ht="15.75" customHeight="1">
      <c r="D49" s="9"/>
      <c r="H49" s="9"/>
    </row>
    <row r="50" ht="15.75" customHeight="1">
      <c r="D50" s="9"/>
      <c r="H50" s="9"/>
    </row>
    <row r="51" ht="15.75" customHeight="1">
      <c r="D51" s="9"/>
      <c r="H51" s="9"/>
    </row>
    <row r="52" ht="15.75" customHeight="1">
      <c r="D52" s="9"/>
      <c r="H52" s="9"/>
    </row>
    <row r="53" ht="15.75" customHeight="1">
      <c r="D53" s="9"/>
      <c r="H53" s="9"/>
    </row>
    <row r="54" ht="15.75" customHeight="1">
      <c r="D54" s="9"/>
      <c r="H54" s="9"/>
    </row>
    <row r="55" ht="15.75" customHeight="1">
      <c r="D55" s="9"/>
      <c r="H55" s="9"/>
    </row>
    <row r="56" ht="15.75" customHeight="1">
      <c r="D56" s="9"/>
      <c r="H56" s="9"/>
    </row>
    <row r="57" ht="15.75" customHeight="1">
      <c r="D57" s="9"/>
      <c r="H57" s="9"/>
    </row>
    <row r="58" ht="15.75" customHeight="1">
      <c r="D58" s="9"/>
      <c r="H58" s="9"/>
    </row>
    <row r="59" ht="15.75" customHeight="1">
      <c r="D59" s="9"/>
      <c r="H59" s="9"/>
    </row>
    <row r="60" ht="15.75" customHeight="1">
      <c r="D60" s="9"/>
      <c r="H60" s="9"/>
    </row>
    <row r="61" ht="15.75" customHeight="1">
      <c r="D61" s="9"/>
      <c r="H61" s="9"/>
    </row>
    <row r="62" ht="15.75" customHeight="1">
      <c r="D62" s="9"/>
      <c r="H62" s="9"/>
    </row>
    <row r="63" ht="15.75" customHeight="1">
      <c r="D63" s="9"/>
      <c r="H63" s="9"/>
    </row>
    <row r="64" ht="15.75" customHeight="1">
      <c r="D64" s="9"/>
      <c r="H64" s="9"/>
    </row>
    <row r="65" ht="15.75" customHeight="1">
      <c r="D65" s="9"/>
      <c r="H65" s="9"/>
    </row>
    <row r="66" ht="15.75" customHeight="1">
      <c r="D66" s="9"/>
      <c r="H66" s="9"/>
    </row>
    <row r="67" ht="15.75" customHeight="1">
      <c r="D67" s="9"/>
      <c r="H67" s="9"/>
    </row>
    <row r="68" ht="15.75" customHeight="1">
      <c r="D68" s="9"/>
      <c r="H68" s="9"/>
    </row>
    <row r="69" ht="15.75" customHeight="1">
      <c r="D69" s="9"/>
      <c r="H69" s="9"/>
    </row>
    <row r="70" ht="15.75" customHeight="1">
      <c r="D70" s="9"/>
      <c r="H70" s="9"/>
    </row>
    <row r="71" ht="15.75" customHeight="1">
      <c r="D71" s="9"/>
      <c r="H71" s="9"/>
    </row>
    <row r="72" ht="15.75" customHeight="1">
      <c r="D72" s="9"/>
      <c r="H72" s="9"/>
    </row>
    <row r="73" ht="15.75" customHeight="1">
      <c r="D73" s="9"/>
      <c r="H73" s="9"/>
    </row>
    <row r="74" ht="15.75" customHeight="1">
      <c r="D74" s="9"/>
      <c r="H74" s="9"/>
    </row>
    <row r="75" ht="15.75" customHeight="1">
      <c r="D75" s="9"/>
      <c r="H75" s="9"/>
    </row>
    <row r="76" ht="15.75" customHeight="1">
      <c r="D76" s="9"/>
      <c r="H76" s="9"/>
    </row>
    <row r="77" ht="15.75" customHeight="1">
      <c r="D77" s="9"/>
      <c r="H77" s="9"/>
    </row>
    <row r="78" ht="15.75" customHeight="1">
      <c r="D78" s="9"/>
      <c r="H78" s="9"/>
    </row>
    <row r="79" ht="15.75" customHeight="1">
      <c r="D79" s="9"/>
      <c r="H79" s="9"/>
    </row>
    <row r="80" ht="15.75" customHeight="1">
      <c r="D80" s="9"/>
      <c r="H80" s="9"/>
    </row>
    <row r="81" ht="15.75" customHeight="1">
      <c r="D81" s="9"/>
      <c r="H81" s="9"/>
    </row>
    <row r="82" ht="15.75" customHeight="1">
      <c r="D82" s="9"/>
      <c r="H82" s="9"/>
    </row>
    <row r="83" ht="15.75" customHeight="1">
      <c r="D83" s="9"/>
      <c r="H83" s="9"/>
    </row>
    <row r="84" ht="15.75" customHeight="1">
      <c r="D84" s="9"/>
      <c r="H84" s="9"/>
    </row>
    <row r="85" ht="15.75" customHeight="1">
      <c r="D85" s="9"/>
      <c r="H85" s="9"/>
    </row>
    <row r="86" ht="15.75" customHeight="1">
      <c r="D86" s="9"/>
      <c r="H86" s="9"/>
    </row>
    <row r="87" ht="15.75" customHeight="1">
      <c r="D87" s="9"/>
      <c r="H87" s="9"/>
    </row>
    <row r="88" ht="15.75" customHeight="1">
      <c r="D88" s="9"/>
      <c r="H88" s="9"/>
    </row>
    <row r="89" ht="15.75" customHeight="1">
      <c r="D89" s="9"/>
      <c r="H89" s="9"/>
    </row>
    <row r="90" ht="15.75" customHeight="1">
      <c r="D90" s="9"/>
      <c r="H90" s="9"/>
    </row>
    <row r="91" ht="15.75" customHeight="1">
      <c r="D91" s="9"/>
      <c r="H91" s="9"/>
    </row>
    <row r="92" ht="15.75" customHeight="1">
      <c r="D92" s="9"/>
      <c r="H92" s="9"/>
    </row>
    <row r="93" ht="15.75" customHeight="1">
      <c r="D93" s="9"/>
      <c r="H93" s="9"/>
    </row>
    <row r="94" ht="15.75" customHeight="1">
      <c r="D94" s="9"/>
      <c r="H94" s="9"/>
    </row>
    <row r="95" ht="15.75" customHeight="1">
      <c r="D95" s="9"/>
      <c r="H95" s="9"/>
    </row>
    <row r="96" ht="15.75" customHeight="1">
      <c r="D96" s="9"/>
      <c r="H96" s="9"/>
    </row>
    <row r="97" ht="15.75" customHeight="1">
      <c r="D97" s="9"/>
      <c r="H97" s="9"/>
    </row>
    <row r="98" ht="15.75" customHeight="1">
      <c r="D98" s="9"/>
      <c r="H98" s="9"/>
    </row>
    <row r="99" ht="15.75" customHeight="1">
      <c r="D99" s="9"/>
      <c r="H99" s="9"/>
    </row>
    <row r="100" ht="15.75" customHeight="1">
      <c r="D100" s="9"/>
      <c r="H100" s="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100">
      <formula1>"Low,Medium,High,Critical"</formula1>
    </dataValidation>
    <dataValidation type="list" allowBlank="1" sqref="H2:H100">
      <formula1>"To log,Open,Closed,Won't fix"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